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orb\Documents\LoganisGit\LSheet\"/>
    </mc:Choice>
  </mc:AlternateContent>
  <bookViews>
    <workbookView xWindow="0" yWindow="0" windowWidth="20490" windowHeight="7755"/>
  </bookViews>
  <sheets>
    <sheet name="Simple Query" sheetId="1" r:id="rId1"/>
    <sheet name="Generic Query" sheetId="3" r:id="rId2"/>
    <sheet name="Metadata" sheetId="2" r:id="rId3"/>
  </sheets>
  <functionGroups builtInGroupCount="18"/>
  <definedNames>
    <definedName name="_xlnm._FilterDatabase" localSheetId="1" hidden="1">'Generic Query'!$F$3:$I$11</definedName>
    <definedName name="_xlnm._FilterDatabase" localSheetId="2" hidden="1">Metadata!$D$3:$E$133</definedName>
    <definedName name="_xlnm._FilterDatabase" localSheetId="0" hidden="1">'Simple Query'!$B$2:$E$71</definedName>
    <definedName name="query" localSheetId="1">'Generic Query'!#REF!</definedName>
    <definedName name="query">'Simple Query'!$L$20</definedName>
    <definedName name="query2">'Generic Query'!$C$3</definedName>
    <definedName name="token" localSheetId="1">'Generic Query'!#REF!</definedName>
    <definedName name="token">'Simple Query'!$L$18</definedName>
  </definedNames>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1" l="1"/>
  <c r="L7" i="1"/>
  <c r="J8" i="1" l="1"/>
  <c r="J7" i="1" l="1"/>
  <c r="J13" i="1" l="1"/>
  <c r="L14" i="1" s="1"/>
  <c r="R5" i="1"/>
  <c r="R6" i="1" s="1"/>
  <c r="R3" i="1" l="1"/>
  <c r="R4" i="1" s="1"/>
  <c r="L20" i="1"/>
</calcChain>
</file>

<file path=xl/sharedStrings.xml><?xml version="1.0" encoding="utf-8"?>
<sst xmlns="http://schemas.openxmlformats.org/spreadsheetml/2006/main" count="709" uniqueCount="634">
  <si>
    <t>Metric</t>
  </si>
  <si>
    <t>Dimension</t>
  </si>
  <si>
    <t>:met</t>
  </si>
  <si>
    <t>:dim</t>
  </si>
  <si>
    <t>Date begin</t>
  </si>
  <si>
    <t>Date end</t>
  </si>
  <si>
    <t>:beg</t>
  </si>
  <si>
    <t>:end</t>
  </si>
  <si>
    <t>Token</t>
  </si>
  <si>
    <t>Query</t>
  </si>
  <si>
    <t>Limit</t>
  </si>
  <si>
    <t>:lim</t>
  </si>
  <si>
    <t>Order by</t>
  </si>
  <si>
    <t>:ord</t>
  </si>
  <si>
    <t>ga:country</t>
  </si>
  <si>
    <t>date</t>
  </si>
  <si>
    <t>string</t>
  </si>
  <si>
    <t>number</t>
  </si>
  <si>
    <t>ga:visits</t>
  </si>
  <si>
    <t>ga:visitors</t>
  </si>
  <si>
    <t>ga:entrances</t>
  </si>
  <si>
    <t>ga:pageviews</t>
  </si>
  <si>
    <t>ga:avgPageLoadTime</t>
  </si>
  <si>
    <t>Channel</t>
  </si>
  <si>
    <t>:cha</t>
  </si>
  <si>
    <t>Oder By</t>
  </si>
  <si>
    <t>ga:city</t>
  </si>
  <si>
    <t>ga:source</t>
  </si>
  <si>
    <t>ga:keyword</t>
  </si>
  <si>
    <t>ga:region</t>
  </si>
  <si>
    <t>ga:metro</t>
  </si>
  <si>
    <t>ga:visitorType</t>
  </si>
  <si>
    <t>ga:visitCount</t>
  </si>
  <si>
    <t>ga:newVisits</t>
  </si>
  <si>
    <t>ga:daysSinceLastVisit</t>
  </si>
  <si>
    <t>ga:percentNewVisits</t>
  </si>
  <si>
    <t>ga:userDefinedValue</t>
  </si>
  <si>
    <t>ga:visitLength</t>
  </si>
  <si>
    <t>ga:bounces</t>
  </si>
  <si>
    <t>ga:referralPath</t>
  </si>
  <si>
    <t>ga:entranceBounceRate</t>
  </si>
  <si>
    <t>ga:fullReferrer</t>
  </si>
  <si>
    <t>ga:visitBounceRate</t>
  </si>
  <si>
    <t>ga:campaign</t>
  </si>
  <si>
    <t>ga:timeOnSite</t>
  </si>
  <si>
    <t>ga:avgTimeOnSite</t>
  </si>
  <si>
    <t>ga:medium</t>
  </si>
  <si>
    <t>ga:organicSearches</t>
  </si>
  <si>
    <t>ga:sourceMedium</t>
  </si>
  <si>
    <t>ga:impressions</t>
  </si>
  <si>
    <t>ga:adClicks</t>
  </si>
  <si>
    <t>ga:adContent</t>
  </si>
  <si>
    <t>ga:adCost</t>
  </si>
  <si>
    <t>ga:socialNetwork</t>
  </si>
  <si>
    <t>ga:CPM</t>
  </si>
  <si>
    <t>ga:hasSocialSourceReferral</t>
  </si>
  <si>
    <t>ga:CPC</t>
  </si>
  <si>
    <t>ga:adGroup</t>
  </si>
  <si>
    <t>ga:CTR</t>
  </si>
  <si>
    <t>ga:adSlot</t>
  </si>
  <si>
    <t>ga:costPerTransaction</t>
  </si>
  <si>
    <t>ga:adSlotPosition</t>
  </si>
  <si>
    <t>ga:costPerGoalConversion</t>
  </si>
  <si>
    <t>ga:adDistributionNetwork</t>
  </si>
  <si>
    <t>ga:costPerConversion</t>
  </si>
  <si>
    <t>ga:adMatchType</t>
  </si>
  <si>
    <t>ga:RPC</t>
  </si>
  <si>
    <t>ga:adKeywordMatchType</t>
  </si>
  <si>
    <t>ga:ROI</t>
  </si>
  <si>
    <t>ga:adMatchedQuery</t>
  </si>
  <si>
    <t>ga:margin</t>
  </si>
  <si>
    <t>ga:adPlacementDomain</t>
  </si>
  <si>
    <t>ga:goalXXStarts</t>
  </si>
  <si>
    <t>ga:adPlacementUrl</t>
  </si>
  <si>
    <t>ga:goalStartsAll</t>
  </si>
  <si>
    <t>ga:adFormat</t>
  </si>
  <si>
    <t>ga:goalXXCompletions</t>
  </si>
  <si>
    <t>ga:adTargetingType</t>
  </si>
  <si>
    <t>ga:goalCompletionsAll</t>
  </si>
  <si>
    <t>ga:adTargetingOption</t>
  </si>
  <si>
    <t>ga:goalXXValue</t>
  </si>
  <si>
    <t>ga:adDisplayUrl</t>
  </si>
  <si>
    <t>ga:goalValueAll</t>
  </si>
  <si>
    <t>ga:adDestinationUrl</t>
  </si>
  <si>
    <t>ga:goalValuePerVisit</t>
  </si>
  <si>
    <t>ga:adwordsCustomerID</t>
  </si>
  <si>
    <t>ga:goalXXConversionRate</t>
  </si>
  <si>
    <t>ga:adwordsCampaignID</t>
  </si>
  <si>
    <t>ga:goalConversionRateAll</t>
  </si>
  <si>
    <t>ga:adwordsAdGroupID</t>
  </si>
  <si>
    <t>ga:goalXXAbandons</t>
  </si>
  <si>
    <t>ga:adwordsCreativeID</t>
  </si>
  <si>
    <t>ga:goalAbandonsAll</t>
  </si>
  <si>
    <t>ga:adwordsCriteriaID</t>
  </si>
  <si>
    <t>ga:goalXXAbandonRate</t>
  </si>
  <si>
    <t>ga:goalCompletionLocation</t>
  </si>
  <si>
    <t>ga:goalAbandonRateAll</t>
  </si>
  <si>
    <t>ga:goalPreviousStep1</t>
  </si>
  <si>
    <t>ga:socialActivities</t>
  </si>
  <si>
    <t>ga:goalPreviousStep2</t>
  </si>
  <si>
    <t>ga:pageValue</t>
  </si>
  <si>
    <t>ga:goalPreviousStep3</t>
  </si>
  <si>
    <t>ga:browser</t>
  </si>
  <si>
    <t>ga:entranceRate</t>
  </si>
  <si>
    <t>ga:browserVersion</t>
  </si>
  <si>
    <t>ga:operatingSystem</t>
  </si>
  <si>
    <t>ga:pageviewsPerVisit</t>
  </si>
  <si>
    <t>ga:operatingSystemVersion</t>
  </si>
  <si>
    <t>ga:uniquePageviews</t>
  </si>
  <si>
    <t>ga:isMobile</t>
  </si>
  <si>
    <t>ga:timeOnPage</t>
  </si>
  <si>
    <t>ga:isTablet</t>
  </si>
  <si>
    <t>ga:avgTimeOnPage</t>
  </si>
  <si>
    <t>ga:mobileDeviceBranding</t>
  </si>
  <si>
    <t>ga:exits</t>
  </si>
  <si>
    <t>ga:mobileDeviceModel</t>
  </si>
  <si>
    <t>ga:exitRate</t>
  </si>
  <si>
    <t>ga:mobileInputSelector</t>
  </si>
  <si>
    <t>ga:searchResultViews</t>
  </si>
  <si>
    <t>ga:mobileDeviceInfo</t>
  </si>
  <si>
    <t>ga:searchUniques</t>
  </si>
  <si>
    <t>ga:mobileDeviceMarketingName</t>
  </si>
  <si>
    <t>ga:avgSearchResultViews</t>
  </si>
  <si>
    <t>ga:deviceCategory</t>
  </si>
  <si>
    <t>ga:searchVisits</t>
  </si>
  <si>
    <t>ga:continent</t>
  </si>
  <si>
    <t>ga:percentVisitsWithSearch</t>
  </si>
  <si>
    <t>ga:subContinent</t>
  </si>
  <si>
    <t>ga:searchDepth</t>
  </si>
  <si>
    <t>ga:avgSearchDepth</t>
  </si>
  <si>
    <t>ga:searchRefinements</t>
  </si>
  <si>
    <t>ga:percentSearchRefinements</t>
  </si>
  <si>
    <t>ga:searchDuration</t>
  </si>
  <si>
    <t>ga:latitude</t>
  </si>
  <si>
    <t>ga:avgSearchDuration</t>
  </si>
  <si>
    <t>ga:longitude</t>
  </si>
  <si>
    <t>ga:searchExits</t>
  </si>
  <si>
    <t>ga:networkDomain</t>
  </si>
  <si>
    <t>ga:searchExitRate</t>
  </si>
  <si>
    <t>ga:networkLocation</t>
  </si>
  <si>
    <t>ga:searchGoalXXConversionRate</t>
  </si>
  <si>
    <t>ga:flashVersion</t>
  </si>
  <si>
    <t>ga:searchGoalConversionRateAll</t>
  </si>
  <si>
    <t>ga:javaEnabled</t>
  </si>
  <si>
    <t>ga:goalValueAllPerSearch</t>
  </si>
  <si>
    <t>ga:language</t>
  </si>
  <si>
    <t>ga:pageLoadTime</t>
  </si>
  <si>
    <t>ga:screenColors</t>
  </si>
  <si>
    <t>ga:pageLoadSample</t>
  </si>
  <si>
    <t>ga:screenResolution</t>
  </si>
  <si>
    <t>ga:socialActivityEndorsingUrl</t>
  </si>
  <si>
    <t>ga:domainLookupTime</t>
  </si>
  <si>
    <t>ga:socialActivityDisplayName</t>
  </si>
  <si>
    <t>ga:avgDomainLookupTime</t>
  </si>
  <si>
    <t>ga:socialActivityPost</t>
  </si>
  <si>
    <t>ga:pageDownloadTime</t>
  </si>
  <si>
    <t>ga:socialActivityTimestamp</t>
  </si>
  <si>
    <t>ga:avgPageDownloadTime</t>
  </si>
  <si>
    <t>ga:socialActivityUserHandle</t>
  </si>
  <si>
    <t>ga:redirectionTime</t>
  </si>
  <si>
    <t>ga:socialActivityUserPhotoUrl</t>
  </si>
  <si>
    <t>ga:avgRedirectionTime</t>
  </si>
  <si>
    <t>ga:socialActivityUserProfileUrl</t>
  </si>
  <si>
    <t>ga:serverConnectionTime</t>
  </si>
  <si>
    <t>ga:socialActivityContentUrl</t>
  </si>
  <si>
    <t>ga:avgServerConnectionTime</t>
  </si>
  <si>
    <t>ga:socialActivityTagsSummary</t>
  </si>
  <si>
    <t>ga:serverResponseTime</t>
  </si>
  <si>
    <t>ga:socialActivityAction</t>
  </si>
  <si>
    <t>ga:avgServerResponseTime</t>
  </si>
  <si>
    <t>ga:socialActivityNetworkAction</t>
  </si>
  <si>
    <t>ga:speedMetricsSample</t>
  </si>
  <si>
    <t>ga:hostname</t>
  </si>
  <si>
    <t>ga:domInteractiveTime</t>
  </si>
  <si>
    <t>ga:pagePath</t>
  </si>
  <si>
    <t>ga:avgDomInteractiveTime</t>
  </si>
  <si>
    <t>ga:pagePathLevel1</t>
  </si>
  <si>
    <t>ga:domContentLoadedTime</t>
  </si>
  <si>
    <t>ga:pagePathLevel2</t>
  </si>
  <si>
    <t>ga:avgDomContentLoadedTime</t>
  </si>
  <si>
    <t>ga:pagePathLevel3</t>
  </si>
  <si>
    <t>ga:domLatencyMetricsSample</t>
  </si>
  <si>
    <t>ga:pagePathLevel4</t>
  </si>
  <si>
    <t>ga:screenviews</t>
  </si>
  <si>
    <t>ga:pageTitle</t>
  </si>
  <si>
    <t>ga:appviews</t>
  </si>
  <si>
    <t>ga:landingPagePath</t>
  </si>
  <si>
    <t>ga:uniqueScreenviews</t>
  </si>
  <si>
    <t>ga:secondPagePath</t>
  </si>
  <si>
    <t>ga:uniqueAppviews</t>
  </si>
  <si>
    <t>ga:exitPagePath</t>
  </si>
  <si>
    <t>ga:screenviewsPerSession</t>
  </si>
  <si>
    <t>ga:previousPagePath</t>
  </si>
  <si>
    <t>ga:appviewsPerVisit</t>
  </si>
  <si>
    <t>ga:nextPagePath</t>
  </si>
  <si>
    <t>ga:timeOnScreen</t>
  </si>
  <si>
    <t>ga:pageDepth</t>
  </si>
  <si>
    <t>ga:avgScreenviewDuration</t>
  </si>
  <si>
    <t>ga:searchUsed</t>
  </si>
  <si>
    <t>ga:totalEvents</t>
  </si>
  <si>
    <t>ga:searchKeyword</t>
  </si>
  <si>
    <t>ga:uniqueEvents</t>
  </si>
  <si>
    <t>ga:searchKeywordRefinement</t>
  </si>
  <si>
    <t>ga:eventValue</t>
  </si>
  <si>
    <t>ga:searchCategory</t>
  </si>
  <si>
    <t>ga:avgEventValue</t>
  </si>
  <si>
    <t>ga:searchStartPage</t>
  </si>
  <si>
    <t>ga:visitsWithEvent</t>
  </si>
  <si>
    <t>ga:searchDestinationPage</t>
  </si>
  <si>
    <t>ga:eventsPerVisitWithEvent</t>
  </si>
  <si>
    <t>ga:appInstallerId</t>
  </si>
  <si>
    <t>ga:transactions</t>
  </si>
  <si>
    <t>ga:appVersion</t>
  </si>
  <si>
    <t>ga:transactionsPerVisit</t>
  </si>
  <si>
    <t>ga:appName</t>
  </si>
  <si>
    <t>ga:transactionRevenue</t>
  </si>
  <si>
    <t>ga:appId</t>
  </si>
  <si>
    <t>ga:revenuePerTransaction</t>
  </si>
  <si>
    <t>ga:screenName</t>
  </si>
  <si>
    <t>ga:transactionRevenuePerVisit</t>
  </si>
  <si>
    <t>ga:screenDepth</t>
  </si>
  <si>
    <t>ga:transactionShipping</t>
  </si>
  <si>
    <t>ga:landingScreenName</t>
  </si>
  <si>
    <t>ga:transactionTax</t>
  </si>
  <si>
    <t>ga:exitScreenName</t>
  </si>
  <si>
    <t>ga:totalValue</t>
  </si>
  <si>
    <t>ga:eventCategory</t>
  </si>
  <si>
    <t>ga:itemQuantity</t>
  </si>
  <si>
    <t>ga:eventAction</t>
  </si>
  <si>
    <t>ga:uniquePurchases</t>
  </si>
  <si>
    <t>ga:eventLabel</t>
  </si>
  <si>
    <t>ga:revenuePerItem</t>
  </si>
  <si>
    <t>ga:transactionId</t>
  </si>
  <si>
    <t>ga:itemRevenue</t>
  </si>
  <si>
    <t>ga:affiliation</t>
  </si>
  <si>
    <t>ga:itemsPerPurchase</t>
  </si>
  <si>
    <t>ga:visitsToTransaction</t>
  </si>
  <si>
    <t>ga:localTransactionRevenue</t>
  </si>
  <si>
    <t>ga:daysToTransaction</t>
  </si>
  <si>
    <t>ga:localTransactionShipping</t>
  </si>
  <si>
    <t>ga:productSku</t>
  </si>
  <si>
    <t>ga:localTransactionTax</t>
  </si>
  <si>
    <t>ga:productName</t>
  </si>
  <si>
    <t>ga:localItemRevenue</t>
  </si>
  <si>
    <t>ga:productCategory</t>
  </si>
  <si>
    <t>ga:socialInteractions</t>
  </si>
  <si>
    <t>ga:currencyCode</t>
  </si>
  <si>
    <t>ga:uniqueSocialInteractions</t>
  </si>
  <si>
    <t>ga:socialInteractionNetwork</t>
  </si>
  <si>
    <t>ga:socialInteractionsPerVisit</t>
  </si>
  <si>
    <t>ga:socialInteractionAction</t>
  </si>
  <si>
    <t>ga:userTimingValue</t>
  </si>
  <si>
    <t>ga:socialInteractionNetworkAction</t>
  </si>
  <si>
    <t>ga:userTimingSample</t>
  </si>
  <si>
    <t>ga:socialInteractionTarget</t>
  </si>
  <si>
    <t>ga:avgUserTimingValue</t>
  </si>
  <si>
    <t>ga:socialEngagementType</t>
  </si>
  <si>
    <t>ga:exceptions</t>
  </si>
  <si>
    <t>ga:userTimingCategory</t>
  </si>
  <si>
    <t>ga:exceptionsPerScreenview</t>
  </si>
  <si>
    <t>ga:userTimingLabel</t>
  </si>
  <si>
    <t>ga:fatalExceptions</t>
  </si>
  <si>
    <t>ga:userTimingVariable</t>
  </si>
  <si>
    <t>ga:fatalExceptionsPerScreenview</t>
  </si>
  <si>
    <t>ga:exceptionDescription</t>
  </si>
  <si>
    <t>ga:metricXX</t>
  </si>
  <si>
    <t>ga:experimentId</t>
  </si>
  <si>
    <t>ga:adsenseRevenue</t>
  </si>
  <si>
    <t>ga:experimentVariant</t>
  </si>
  <si>
    <t>ga:adsenseAdUnitsViewed</t>
  </si>
  <si>
    <t>ga:dimensionXX</t>
  </si>
  <si>
    <t>ga:adsenseAdsViewed</t>
  </si>
  <si>
    <t>ga:customVarNameXX</t>
  </si>
  <si>
    <t>ga:adsenseAdsClicks</t>
  </si>
  <si>
    <t>ga:customVarValueXX</t>
  </si>
  <si>
    <t>ga:adsensePageImpressions</t>
  </si>
  <si>
    <t>ga:date</t>
  </si>
  <si>
    <t>ga:adsenseCTR</t>
  </si>
  <si>
    <t>ga:year</t>
  </si>
  <si>
    <t>ga:adsenseECPM</t>
  </si>
  <si>
    <t>ga:month</t>
  </si>
  <si>
    <t>ga:adsenseExits</t>
  </si>
  <si>
    <t>ga:week</t>
  </si>
  <si>
    <t>ga:day</t>
  </si>
  <si>
    <t>ga:hour</t>
  </si>
  <si>
    <t>ga:minute</t>
  </si>
  <si>
    <t>ga:nthMonth</t>
  </si>
  <si>
    <t>ga:nthWeek</t>
  </si>
  <si>
    <t>ga:nthDay</t>
  </si>
  <si>
    <t>ga:nthMinute</t>
  </si>
  <si>
    <t>ga:dayOfWeek</t>
  </si>
  <si>
    <t>ga:dayOfWeekName</t>
  </si>
  <si>
    <t>ga:dateHour</t>
  </si>
  <si>
    <t>ga:yearMonth</t>
  </si>
  <si>
    <t>ga:yearWeek</t>
  </si>
  <si>
    <t>ga:isoWeek</t>
  </si>
  <si>
    <t>ga:isoYear</t>
  </si>
  <si>
    <t>ga:isoYearIsoWeek</t>
  </si>
  <si>
    <t>ga:visitorAgeBracket</t>
  </si>
  <si>
    <t>ga:visitorGender</t>
  </si>
  <si>
    <t>ga:interestOtherCategory</t>
  </si>
  <si>
    <t>ga:interestAffinityCategory</t>
  </si>
  <si>
    <t>ga:interestInMarketCategory</t>
  </si>
  <si>
    <t>Metric description</t>
  </si>
  <si>
    <t>Name of the social network. This can be related to the referring social network for traffic sources, or to the social network for social data hub activities. E.g. Google+, Blogger, etc.</t>
  </si>
  <si>
    <t>Cost per thousand impressions.</t>
  </si>
  <si>
    <t xml:space="preserve">When using manual campaign tracking, the value of the utm_content campaign tracking parameter. When using AdWords autotagging, the first line of the text for your online Ad campaign. If you are using mad libs for your AdWords content, this field displays </t>
  </si>
  <si>
    <t>Derived cost for the advertising campaign. The currency for this value is based on the currency that you set in your AdWords account.</t>
  </si>
  <si>
    <t>The total number of times users have clicked on an ad to reach your property.</t>
  </si>
  <si>
    <t>Combined values of ga:source and ga:medium.</t>
  </si>
  <si>
    <t>Total number of campaign impressions.</t>
  </si>
  <si>
    <t>The type of referrals to your property. When using manual campaign tracking, the value of the utm_medium campaign tracking parameter. When using AdWords autotagging, the value is ppc. If the user comes from a search engine detected by Google Analytics, th</t>
  </si>
  <si>
    <t>The number of organic searches that happened within a session. This metric is search engine agnostic.</t>
  </si>
  <si>
    <t>When using manual campaign tracking, the value of the utm_campaign campaign tracking parameter. When using AdWords autotagging, the name(s) of the online ad campaign that you use for your property. Otherwise the value (not set) is used.</t>
  </si>
  <si>
    <t>The full referring URL including the hostname and path.</t>
  </si>
  <si>
    <t>The path of the referring URL (e.g. document.referrer). If someone places a link to your property on their website, this element contains the path of the page that contains the referring link.</t>
  </si>
  <si>
    <t>The total number of single page (or single engagement hit) sessions for your property.</t>
  </si>
  <si>
    <t>Counts the total number of sessions.</t>
  </si>
  <si>
    <t>A string. Corresponds to AdWords API AccountInfo.customerId.</t>
  </si>
  <si>
    <t>The URLs to which your AdWords ads referred traffic.</t>
  </si>
  <si>
    <t>The URLs your AdWords ads displayed.</t>
  </si>
  <si>
    <t>The total numeric value for all goals defined for your profile.</t>
  </si>
  <si>
    <t>How you manage your ads on the content network. Values are Automatic placements or Managed placements.</t>
  </si>
  <si>
    <t>The total numeric value for the requested goal number.</t>
  </si>
  <si>
    <t>How your AdWords ads were targeted (keyword, placement, and vertical targeting, etc.).</t>
  </si>
  <si>
    <t>The total number of completions for all goals defined for your profile.</t>
  </si>
  <si>
    <t>Your AdWords ad formats (Text, Image, Flash, Video, etc.).</t>
  </si>
  <si>
    <t>The total number of completions for the requested goal number.</t>
  </si>
  <si>
    <t>The URLs where your ads on the content network were placed.</t>
  </si>
  <si>
    <t>The total number of starts for all goals defined for your profile.</t>
  </si>
  <si>
    <t>The domains where your ads on the content network were placed.</t>
  </si>
  <si>
    <t>The total number of starts for the requested goal number.</t>
  </si>
  <si>
    <t>The search queries that triggered impressions of your AdWords ads.</t>
  </si>
  <si>
    <t>The overall transaction profit margin.</t>
  </si>
  <si>
    <t>The match types applied to your keywords (Phrase, Exact, Broad). Details: https://support.google.com/adwords/answer/2472708?hl=en</t>
  </si>
  <si>
    <t>Returns on Investment is overall transaction profit divided by derived advertising cost.</t>
  </si>
  <si>
    <t>The match types applied for the search term the user had input(Phrase, Exact, Broad, etc.). Ads on the content network are identified as "Content network". Details: https://support.google.com/adwords/answer/2472708?hl=en</t>
  </si>
  <si>
    <t>RPC or revenue-per-click is the average revenue (from ecommerce sales and/or goal value) you received for each click on one of your search ads.</t>
  </si>
  <si>
    <t>The networks used to deliver your ads (Content, Search, Search partners, etc.).</t>
  </si>
  <si>
    <t>The cost per conversion (including ecommerce and goal conversions) for your property.</t>
  </si>
  <si>
    <t>The ad slot positions in which your AdWords ads appeared (1-8).</t>
  </si>
  <si>
    <t>The cost per goal conversion for your property.</t>
  </si>
  <si>
    <t>The location of the advertisement on the hosting page (Top, RHS, or not set).</t>
  </si>
  <si>
    <t>The cost per transaction for your property.</t>
  </si>
  <si>
    <t>The name of your AdWords ad group.</t>
  </si>
  <si>
    <t>Click-through-rate for your ad. This is equal to the number of clicks divided by the number of impressions for your ad (e.g. how many times users clicked on one of your ads where that ad appeared).</t>
  </si>
  <si>
    <t>Cost to advertiser per click.</t>
  </si>
  <si>
    <t>Mobile device model</t>
  </si>
  <si>
    <t>The percentage of exits from your property that occurred out of the total page views.</t>
  </si>
  <si>
    <t>Mobile manufacturer or branded name.</t>
  </si>
  <si>
    <t>The number of exits from your property.</t>
  </si>
  <si>
    <t>This dimension is deprecated and will be removed soon. Please use ga:deviceCategory instead (e.g., ga:deviceCategory==tablet).</t>
  </si>
  <si>
    <t>This dimension is deprecated and will be removed soon. Please use ga:deviceCategory instead (e.g., ga:deviceCategory==mobile).</t>
  </si>
  <si>
    <t>The number of different (unique) pages within a session. This takes into both the pagePath and pageTitle to determine uniqueness.</t>
  </si>
  <si>
    <t>The total number of pageviews for your property.</t>
  </si>
  <si>
    <t>The percentage of pageviews in which this page was the entrance.</t>
  </si>
  <si>
    <t>The page path or screen name that matched any destination type goal, three steps prior to the goal completion location.</t>
  </si>
  <si>
    <t>The number of entrances to your property measured as the first pageview in a session. Typically used with landingPagePath</t>
  </si>
  <si>
    <t>The page path or screen name that matched any destination type goal, two steps prior to the goal completion location.</t>
  </si>
  <si>
    <t>The average value of this page or set of pages. Page Value is (ga:transactionRevenue + ga:goalValueAll) / ga:uniquePageviews (for the page or set of pages).</t>
  </si>
  <si>
    <t>The page path or screen name that matched any destination type goal, one step prior to the goal completion location.</t>
  </si>
  <si>
    <t>The count of activities where a content URL was shared / mentioned on a social data hub partner network.</t>
  </si>
  <si>
    <t>The page path or screen name that matched any destination type goal completion.</t>
  </si>
  <si>
    <t>The rate at which goals were abandoned.</t>
  </si>
  <si>
    <t>A string. Corresponds to AdWords API Criterion.id.</t>
  </si>
  <si>
    <t>The rate at which the requested goal number was abandoned.</t>
  </si>
  <si>
    <t>A string. Corresponds to AdWords API Ad.id.</t>
  </si>
  <si>
    <t>A string. Corresponds to AdWords API AdGroup.id.</t>
  </si>
  <si>
    <t>A string. Corresponds to AdWords API Campaign.id.</t>
  </si>
  <si>
    <t>The average goal value of a search on your property.</t>
  </si>
  <si>
    <t>The percentage of searches that resulted in an immediate exit from your property.</t>
  </si>
  <si>
    <t>The number of exits on your site that occurred following a search result from your internal search feature.</t>
  </si>
  <si>
    <t>The average amount of time people spent on your property after searching.</t>
  </si>
  <si>
    <t>The Designated Market Area (DMA) from where traffic arrived on your property.</t>
  </si>
  <si>
    <t>The percentage of number of times a refinement (i.e., transition) occurs between internal search keywords within a session.</t>
  </si>
  <si>
    <t>The total number of times a refinement (transition) occurs between internal search keywords within a session. For example if the sequence of keywords is: "shoes", "shoes", "pants", "pants", this metric will be one because the transition between "shoes" an</t>
  </si>
  <si>
    <t>The average number of pages people viewed after performing a search on your property.</t>
  </si>
  <si>
    <t>The average number of subsequent page views made on your property after a use of your internal search feature.</t>
  </si>
  <si>
    <t>The type of device: desktop, tablet, or mobile.</t>
  </si>
  <si>
    <t>The total number of sessions that included an internal search</t>
  </si>
  <si>
    <t>The marketing name used for the mobile device.</t>
  </si>
  <si>
    <t>The average number of times people viewed a search results page after performing a search.</t>
  </si>
  <si>
    <t>The branding, model, and marketing name used to identify the mobile device.</t>
  </si>
  <si>
    <t>The total number of unique keywords from internal searches within a session. For example if "shoes" was searched for 3 times in a session, it will be only counted once.</t>
  </si>
  <si>
    <t>Selector used on the mobile device (e.g.: touchscreen, joystick, clickwheel, stylus).</t>
  </si>
  <si>
    <t>The number of times a search result page was viewed after performing a search.</t>
  </si>
  <si>
    <t>A page on your website specified by path and/or query parameters. Use in conjunction with hostname to get the full URL of the page.</t>
  </si>
  <si>
    <t>The average time (in seconds) it takes the browser to parse the document and execute deferred and parser-inserted scripts including the network time from the user's location to your server.</t>
  </si>
  <si>
    <t>The hostname from which the tracking request was made.</t>
  </si>
  <si>
    <t>The time the browser takes (in milliseconds) to parse the document (DOMInteractive), including the network time from the user's location to your server. At this time, the user can interact with the Document Object Model even though it is not fully loaded.</t>
  </si>
  <si>
    <t>For a social data hub activity, this value represents the type of social action and the social network where the activity originated.</t>
  </si>
  <si>
    <t>The sample set (or count) of pageviews used to calculate the averages for site speed metrics. This metric is used in all site speed average calculations including avgDomainLookupTime, avgPageDownloadTime, avgRedirectionTime, avgServerConnectionTime, and a</t>
  </si>
  <si>
    <t>For a social data hub activity, this value represents the type of social action associated with the activity (e.g. vote, comment, +1, etc.).</t>
  </si>
  <si>
    <t>The average amount of time (in seconds) your server takes to respond to a user request, including the network time from user's location to your server.</t>
  </si>
  <si>
    <t>For a social data hub activity, this is a comma-separated set of tags associated with the social activity.</t>
  </si>
  <si>
    <t>The total amount of time (in milliseconds) your server takes to respond to a user request among all samples, including the network time from user's location to your server.</t>
  </si>
  <si>
    <t>For a social data hub activity, this value represents the URL shared by the associated social network user.</t>
  </si>
  <si>
    <t>The average amount of time (in seconds) spent in establishing TCP connection for this page.</t>
  </si>
  <si>
    <t>For a social data hub activity, this value represents the URL of the associated user's social network profile.</t>
  </si>
  <si>
    <t>The total amount of time (in milliseconds) spent in establishing TCP connection for this page among all samples.</t>
  </si>
  <si>
    <t>For a social data hub activity, this value represents the URL of the photo associated with the user's social network profile.</t>
  </si>
  <si>
    <t>The average amount of time (in seconds) spent in redirects before fetching this page. If there are no redirects, the value for this metric is expected to be 0.</t>
  </si>
  <si>
    <t>For a social data hub activity, this value represents the social network handle (e.g. name or ID) of the user who initiated the social activity.</t>
  </si>
  <si>
    <t>The total amount of time (in milliseconds) spent in redirects before fetching this page among all samples. If there are no redirects, the value for this metric is expected to be 0.</t>
  </si>
  <si>
    <t>For a social data hub activity, this value represents when the social activity occurred on the social network.</t>
  </si>
  <si>
    <t>The average amount of time (in seconds) to download this page.</t>
  </si>
  <si>
    <t>For a social data hub activity, this value represents the content of the social activity posted by the social network user (e.g. The message content of a Google+ post)</t>
  </si>
  <si>
    <t>The total amount of time (in milliseconds) to download this page among all samples.</t>
  </si>
  <si>
    <t>For a social data hub activity, this value represents the title of the social activity posted by the social network user.</t>
  </si>
  <si>
    <t>The average amount of time (in seconds) spent in DNS lookup for this page.</t>
  </si>
  <si>
    <t>For a social data hub activity, this value represents the URL of the social activity (e.g. the Google+ post URL, the blog comment URL, etc.)</t>
  </si>
  <si>
    <t>The total amount of time (in milliseconds) spent in DNS lookup for this page among all samples.</t>
  </si>
  <si>
    <t>The average amount of time (in seconds) it takes for pages from the sample set to load, from initiation of the pageview (e.g. click on a page link) to load completion in the browser.</t>
  </si>
  <si>
    <t>The sample set (or count) of pageviews used to calculate the average page load time.</t>
  </si>
  <si>
    <t>The language provided by the HTTP Request for the browser. Values are given as an ISO-639 code (e.g. en-gb for British English).</t>
  </si>
  <si>
    <t>Total Page Load Time is the amount of time (in milliseconds) it takes for pages from the sample set to load, from initiation of the pageview (e.g. click on a page link) to load completion in the browser.</t>
  </si>
  <si>
    <t>A page where the user initiated an internal search on your property.</t>
  </si>
  <si>
    <t>The categories used for the internal search if you have this enabled for your profile. For example, you might have product categories such as electronics, furniture, or clothing.</t>
  </si>
  <si>
    <t>The average value of an event.</t>
  </si>
  <si>
    <t>Subsequent keyword search terms or strings entered by users after a given initial string search.</t>
  </si>
  <si>
    <t>The total value of events for the profile.</t>
  </si>
  <si>
    <t>The total number of unique events for the profile, across all categories.</t>
  </si>
  <si>
    <t>A boolean to distinguish whether internal search was used in a session. Values are Visits With Site Search and Visits Without Site Search.</t>
  </si>
  <si>
    <t>The total number of events for the profile, across all categories.</t>
  </si>
  <si>
    <t>The average amount of time users spent on a screen in seconds.</t>
  </si>
  <si>
    <t>A page on your website that was visited after another page on your website. Typically used with the previousPagePath dimension.</t>
  </si>
  <si>
    <t>The time spent viewing the current screen.</t>
  </si>
  <si>
    <t>A page on your property that was visited before another page on the same property. Typically used with the pagePath dimension.</t>
  </si>
  <si>
    <t>The average number of screenviews per session.</t>
  </si>
  <si>
    <t>The last page in a user's session, or exit page.</t>
  </si>
  <si>
    <t>The second page in a user's session.</t>
  </si>
  <si>
    <t>The number of different (unique) screenviews within a session.</t>
  </si>
  <si>
    <t>The first page in a user's session, or landing page.</t>
  </si>
  <si>
    <t>The title of a page. Keep in mind that multiple pages might have the same page title.</t>
  </si>
  <si>
    <t>The total number of screenviews.</t>
  </si>
  <si>
    <t>This dimension rolls up all the page paths into hierarchical levels. Up to 4 pagePath levels maybe specified. All additional levels in the pagePath hierarchy are also rolled up in this dimension.</t>
  </si>
  <si>
    <t>This dimension rolls up all the page paths in the third hierarchical level in pagePath.</t>
  </si>
  <si>
    <t>The sample set (or count) of pageviews used to calculate the averages for site speed DOM metrics. This metric is used in the avgDomContentLoadedTime and avgDomInteractiveTime calculations.</t>
  </si>
  <si>
    <t>This dimension rolls up all the page paths in the second hierarchical level in pagePath.</t>
  </si>
  <si>
    <t>The average time (in seconds) it takes the browser to parse the document.</t>
  </si>
  <si>
    <t>This dimension rolls up all the page paths in the first hierarchical level in pagePath.</t>
  </si>
  <si>
    <t>The time the browser takes (in milliseconds) to parse the document and execute deferred and parser-inserted scripts (DOMContentLoaded), including the network time from the user's location to your server. Parsing of the document is finished, the Document O</t>
  </si>
  <si>
    <t>The number of days between users' purchases and the related campaigns that lead to the purchases.</t>
  </si>
  <si>
    <t>Transaction shipping cost in local currency.</t>
  </si>
  <si>
    <t>Transaction revenue in local currency.</t>
  </si>
  <si>
    <t>Typically used to designate a supplying company or brick and mortar location; product affiliation.</t>
  </si>
  <si>
    <t>The average quantity of this item (or group of items) sold per purchase.</t>
  </si>
  <si>
    <t>The transaction ID for the shopping cart purchase as supplied by your ecommerce tracking method.</t>
  </si>
  <si>
    <t>The total revenue from purchased product items on your property.</t>
  </si>
  <si>
    <t>The label of the event.</t>
  </si>
  <si>
    <t>The average revenue per item.</t>
  </si>
  <si>
    <t>The action of the event.</t>
  </si>
  <si>
    <t>The number of product sets purchased. For example, if users purchase 2 frisbees and 5 tennis balls from your site, 2 unique products have been purchased.</t>
  </si>
  <si>
    <t>The category of the event.</t>
  </si>
  <si>
    <t>The total number of items purchased. For example, if users purchase 2 frisbees and 5 tennis balls, 7 items have been purchased.</t>
  </si>
  <si>
    <t>The name of the screen when the user exited the application.</t>
  </si>
  <si>
    <t>Total value for your property (including total revenue and total goal value).</t>
  </si>
  <si>
    <t>The name of the first screen viewed.</t>
  </si>
  <si>
    <t>The total amount of tax.</t>
  </si>
  <si>
    <t>The number of screenviews per session reported as a string. Can be useful for historgrams.</t>
  </si>
  <si>
    <t>The total cost of shipping.</t>
  </si>
  <si>
    <t>The name of the screen.</t>
  </si>
  <si>
    <t>The ID of the application.</t>
  </si>
  <si>
    <t>The average revenue for an e-commerce transaction.</t>
  </si>
  <si>
    <t>The name of the application.</t>
  </si>
  <si>
    <t>The total sale revenue provided in the transaction excluding shipping and tax.</t>
  </si>
  <si>
    <t>The version of the application.</t>
  </si>
  <si>
    <t>ID of the installer (e.g., Google Play Store) from which the app was downloaded. By default, the app installer id is set based on the PackageManager#getInstallerPackageName method.</t>
  </si>
  <si>
    <t>The total number of transactions.</t>
  </si>
  <si>
    <t>A page that the user visited after performing an internal search on your property.</t>
  </si>
  <si>
    <t>The name of the requested custom dimension, where XX refers the number/index of the custom dimension.</t>
  </si>
  <si>
    <t>The number of AdSense ads viewed. Multiple ads can be displayed within an Ad Unit.</t>
  </si>
  <si>
    <t>The number of AdSense ad units viewed. An Ad unit is a set of ads displayed as a result of one piece of the AdSense ad code. Details: https://support.google.com/adsense/answer/32715?hl=en</t>
  </si>
  <si>
    <t>The total revenue from AdSense ads.</t>
  </si>
  <si>
    <t>The description for the exception.</t>
  </si>
  <si>
    <t>The name of the requested custom metric, where XX refers the number/index of the custom metric.</t>
  </si>
  <si>
    <t>A value that can be used to add flexibility in visualizing user timings in the reports.</t>
  </si>
  <si>
    <t>The number of fatal exceptions thrown divided by the number of screenviews.</t>
  </si>
  <si>
    <t>The name of the resource's action being tracked.</t>
  </si>
  <si>
    <t>The number of exceptions where isFatal is set to true.</t>
  </si>
  <si>
    <t>A string for categorizing all user timing variables into logical groups for easier reporting purposes.</t>
  </si>
  <si>
    <t>The number of exceptions thrown divided by the number of screenviews.</t>
  </si>
  <si>
    <t>Engagement type. Possible values are "Socially Engaged" or "Not Socially Engaged".</t>
  </si>
  <si>
    <t>The number of exceptions that were sent to Google Analytics.</t>
  </si>
  <si>
    <t>For social interactions, a value representing the URL (or resource) which receives the social network action.</t>
  </si>
  <si>
    <t>The average amount of elapsed time.</t>
  </si>
  <si>
    <t>For social interactions, a value representing the concatenation of the socialInteractionNetwork and socialInteractionAction action being tracked at this hit level (e.g. Google: +1)</t>
  </si>
  <si>
    <t>The number of hits that were sent for a particular userTimingCategory, userTimingLabel, and userTimingVariable.</t>
  </si>
  <si>
    <t>For social interactions, a value representing the social action being tracked (e.g. +1, bookmark)</t>
  </si>
  <si>
    <t>The total number of milliseconds for a user timing.</t>
  </si>
  <si>
    <t>For social interactions, a value representing the social network being tracked.</t>
  </si>
  <si>
    <t>The local currency code of the transaction based on ISO 4217 standard.</t>
  </si>
  <si>
    <t>The number of sessions during which the specified social action(s) occurred at least once. This is based on the the unique combination of socialInteractionNetwork, socialInteractionAction, and socialInteractionTarget.</t>
  </si>
  <si>
    <t>Any product variations (size, color) for purchased items as supplied by your ecommerce application.</t>
  </si>
  <si>
    <t>The total number of social interactions on your property.</t>
  </si>
  <si>
    <t>The product name for purchased items as supplied by your ecommerce tracking application.</t>
  </si>
  <si>
    <t>Product revenue in local currency.</t>
  </si>
  <si>
    <t>The product sku for purchased items as you have defined them in your ecommerce tracking application.</t>
  </si>
  <si>
    <t>Transaction tax in local currency.</t>
  </si>
  <si>
    <t>Combined values of ga:date and ga:hour.</t>
  </si>
  <si>
    <t>The name of the day of the week (in English).</t>
  </si>
  <si>
    <t>The day of the week. A one-digit number from 0 (Sunday) to 6 (Saturday).</t>
  </si>
  <si>
    <t>Index for each minute in the specified date range. Index for the first minute of first day (i.e., start-date) in the date range is 0, 1 for the next minute, and so on.</t>
  </si>
  <si>
    <t>Index for each day in the specified date range. Index for the first day (i.e., start-date) in the date range is 0, 1 for the second day, and so on.</t>
  </si>
  <si>
    <t>Index for each week in the specified date range. Index for the first week in the date range is 0, 1 for the second week, and so on. The index corresponds to week entries.</t>
  </si>
  <si>
    <t>Index for each month in the specified date range. Index for the first month in the date range is 0, 1 for the second month, and so on. The index corresponds to month entries.</t>
  </si>
  <si>
    <t>Returns the minute in the hour. The possible values are between 00 and 59.</t>
  </si>
  <si>
    <t>A two-digit hour of the day ranging from 00-23 in the timezone configured for the account. This value is also corrected for daylight savings time, adhering to all local rules for daylight savings time. If your timezone follows daylight savings time, there</t>
  </si>
  <si>
    <t>The day of the month. A two-digit number from 01 to 31.</t>
  </si>
  <si>
    <t>The number of sessions that ended due to a user clicking on an AdSense ad.</t>
  </si>
  <si>
    <t>The estimated cost per thousand page impressions. It is your AdSense Revenue per 1000 page impressions.</t>
  </si>
  <si>
    <t>The percentage of page impressions that resulted in a click on an AdSense ad.</t>
  </si>
  <si>
    <t>The value for the requested custom variable.</t>
  </si>
  <si>
    <t>The number of pageviews during which an AdSense ad was displayed. A page impression can have multiple Ad Units.</t>
  </si>
  <si>
    <t>The name for the requested custom variable.</t>
  </si>
  <si>
    <t>The number of times AdSense ads on your site were clicked.</t>
  </si>
  <si>
    <t>Indicates that users are more likely to be ready to purchase products or services in the specified category.</t>
  </si>
  <si>
    <t>Indicates that users are more likely to be interested in learning about the specified category.</t>
  </si>
  <si>
    <t>Indicates that users are more likely to be interested in learning about the specified category, and more likely to be ready to purchase.</t>
  </si>
  <si>
    <t>Combined values of ga:isoYear and ga:isoWeek.</t>
  </si>
  <si>
    <t>The ISO week number, where each week starts with a Monday. Details: http://en.wikipedia.org/wiki/ISO_week_date. ga:isoWeek should only be used with ga:isoYear since ga:year represents gregorian calendar.</t>
  </si>
  <si>
    <t>Combined values of ga:year and ga:week.</t>
  </si>
  <si>
    <t>Combined values of ga:year and ga:month.</t>
  </si>
  <si>
    <t>Dimension description</t>
  </si>
  <si>
    <t xml:space="preserve"> </t>
  </si>
  <si>
    <t>For more information please visit</t>
  </si>
  <si>
    <t>http://docs.loganis.com</t>
  </si>
  <si>
    <t>ch0</t>
  </si>
  <si>
    <t>LSheet  © 2014 Loganis.com - iWebMa Limited</t>
  </si>
  <si>
    <t>ga:userType</t>
  </si>
  <si>
    <t>A boolean indicating if a user is new or returning. Possible values: New Visitor, Returning Visitor.</t>
  </si>
  <si>
    <t>ga:users</t>
  </si>
  <si>
    <t>Total number of users to your property for the requested time period.</t>
  </si>
  <si>
    <t>ga:sessionCount</t>
  </si>
  <si>
    <t>The session index for a user to your property. Each session from a unique user will get its own incremental index starting from 1 for the first session. Subsequent sessions do not change previous session indicies. For example, if a certain user has 4 sess</t>
  </si>
  <si>
    <t>ga:newUsers</t>
  </si>
  <si>
    <t>The number of users whose session on your property was marked as a first-time session.</t>
  </si>
  <si>
    <t>ga:daysSinceLastSession</t>
  </si>
  <si>
    <t>The number of days elapsed since users last visited your property. Used to calculate user loyalty.</t>
  </si>
  <si>
    <t>ga:percentNewSessions</t>
  </si>
  <si>
    <t>The percentage of sessions by people who had never visited your property before.</t>
  </si>
  <si>
    <t>The value provided when you define custom user segments for your property.</t>
  </si>
  <si>
    <t>ga:sessions</t>
  </si>
  <si>
    <t>ga:sessionDurationBucket</t>
  </si>
  <si>
    <t>The length of a session on your property measured in seconds and reported in second increments. The value returned is a string.</t>
  </si>
  <si>
    <t>This dimension is deprecated and will be removed soon. Please use ga:bounceRate instead.</t>
  </si>
  <si>
    <t>ga:bounceRate</t>
  </si>
  <si>
    <t>The percentage of single-page session (i.e., session in which the person left your property from the first page).</t>
  </si>
  <si>
    <t>The source of referrals to your property. When using manual campaign tracking, the value of the utm_source campaign tracking parameter. When using AdWords autotagging, the value is google. Otherwise the domain of the source referring the user to your prop</t>
  </si>
  <si>
    <t>ga:sessionDuration</t>
  </si>
  <si>
    <t>The total duration of user sessions represented in total seconds.</t>
  </si>
  <si>
    <t>ga:avgSessionDuration</t>
  </si>
  <si>
    <t>The average duration of user sessions represented in total seconds.</t>
  </si>
  <si>
    <t>When using manual campaign tracking, the value of the utm_term campaign tracking parameter. When using AdWords autotagging or if a user used organic search to reach your property, the keywords used by users to reach your property. Otherwise the value is (</t>
  </si>
  <si>
    <t>Indicates sessions that arrived to the property from a social source. The possible values are Yes or No where the first letter is capitalized.</t>
  </si>
  <si>
    <t>ga:goalValuePerSession</t>
  </si>
  <si>
    <t>The average goal value of a session on your property.</t>
  </si>
  <si>
    <t>The percentage of sessions which resulted in a conversion to the requested goal number.</t>
  </si>
  <si>
    <t>The percentage of sessions which resulted in a conversion to at least one of your goals.</t>
  </si>
  <si>
    <t>The number of times users started conversion activity on the requested goal number without actually completing it.</t>
  </si>
  <si>
    <t>The overall number of times users started goals without actually completing them.</t>
  </si>
  <si>
    <t>The names of browsers used by users to your website. For example, Internet Explorer or Firefox.</t>
  </si>
  <si>
    <t>The browser versions used by users to your website. For example, 2.0.0.14</t>
  </si>
  <si>
    <t>The operating system used by your users. For example, Windows, Linux , Macintosh, iPhone, iPod.</t>
  </si>
  <si>
    <t>The version of the operating system used by your users, such as XP for Windows or PPC for Macintosh.</t>
  </si>
  <si>
    <t>ga:pageviewsPerSession</t>
  </si>
  <si>
    <t>The average number of pages viewed during a session on your property. Repeated views of a single page are counted.</t>
  </si>
  <si>
    <t>How long a user spent on a particular page in seconds. Calculated by subtracting the initial view time for a particular page from the initial view time for a subsequent page. Thus, this metric does not apply to exit pages for your property.</t>
  </si>
  <si>
    <t>The average amount of time users spent viewing this page or a set of pages.</t>
  </si>
  <si>
    <t>The continents of property users, derived from IP addresses.</t>
  </si>
  <si>
    <t>The sub-continent of users, derived from IP addresses. For example, Polynesia or Northern Europe.</t>
  </si>
  <si>
    <t>The country of users, derived from IP addresses.</t>
  </si>
  <si>
    <t>The region of users to your property, derived from IP addresses. In the U.S., a region is a state, such as New York.</t>
  </si>
  <si>
    <t>ga:searchSessions</t>
  </si>
  <si>
    <t>The cities of property users, derived from IP addresses.</t>
  </si>
  <si>
    <t>The approximate latitude of the user's city. Derived from IP address. Locations north of the equator are represented by positive values and locations south of the equator by negative values.</t>
  </si>
  <si>
    <t>ga:percentSessionsWithSearch</t>
  </si>
  <si>
    <t>The percentage of sessions with search.</t>
  </si>
  <si>
    <t>The approximate longitude of the user's city. Derived from IP address. Locations east of the meridian are represented by positive values and locations west of the meridian by negative values.</t>
  </si>
  <si>
    <t>The domain name of the ISPs used by users to your property. This is derived from the domain name registered to the IP address.</t>
  </si>
  <si>
    <t>The name of service providers used to reach your property. For example, if most users to your website come via the major service providers for cable internet, you will see the names of those cable service providers in this element.</t>
  </si>
  <si>
    <t>The versions of Flash supported by users' browsers, including minor versions.</t>
  </si>
  <si>
    <t>Indicates Java support for users' browsers. The possible values are Yes or No where the first letter must be capitalized.</t>
  </si>
  <si>
    <t>The session duration on your property where a use of your internal search feature occurred.</t>
  </si>
  <si>
    <t>The color depth of users' monitors, as retrieved from the DOM of the user's browser. For example 4-bit, 8-bit, 24-bit, or undefined-bit.</t>
  </si>
  <si>
    <t>ga:sourcePropertyDisplayName</t>
  </si>
  <si>
    <t>Source property display name of roll-up properties. This is valid only for roll-up properties.</t>
  </si>
  <si>
    <t>ga:sourcePropertyTrackingId</t>
  </si>
  <si>
    <t>Source property tracking ID of roll-up properties. This is valid only for roll-up properties.</t>
  </si>
  <si>
    <t>The screen resolution of users' screens. For example: 1024x738.</t>
  </si>
  <si>
    <t>The percentage of search sessions (i.e., sessions that included at least one search) which resulted in a conversion to the requested goal number.</t>
  </si>
  <si>
    <t>The percentage of search sessions (i.e., sessions that included at least one search) which resulted in a conversion to at least one of your goals.</t>
  </si>
  <si>
    <t>The number of pages visited by users during a session. The value is a histogram that counts pageviews across a range of possible values. In this calculation, all sessions will have at least one pageview, and some percentage of sessions will have more.</t>
  </si>
  <si>
    <t>Search terms used by users within your property.</t>
  </si>
  <si>
    <t>ga:sessionsWithEvent</t>
  </si>
  <si>
    <t>The total number of sessions with events.</t>
  </si>
  <si>
    <t>ga:eventsPerSessionWithEvent</t>
  </si>
  <si>
    <t>The average number of events per session with event.</t>
  </si>
  <si>
    <t>ga:transactionsPerSession</t>
  </si>
  <si>
    <t>The average number of transactions for a session on your property.</t>
  </si>
  <si>
    <t>ga:transactionRevenuePerSession</t>
  </si>
  <si>
    <t>Average transaction revenue for a session on your property.</t>
  </si>
  <si>
    <t>ga:sessionsToTransaction</t>
  </si>
  <si>
    <t>The number of sessions between users' purchases and the related campaigns that lead to the purchases.</t>
  </si>
  <si>
    <t>ga:socialInteractionsPerSession</t>
  </si>
  <si>
    <t>The number of social interactions per session on your property.</t>
  </si>
  <si>
    <t>The user-scoped id of the content experiment that the user was exposed to when the metrics were reported.</t>
  </si>
  <si>
    <t>The user-scoped id of the particular variation that the user was exposed to during a content experiment.</t>
  </si>
  <si>
    <t>The date of the session formatted as YYYYMMDD.</t>
  </si>
  <si>
    <t>The year of the session. A four-digit year from 2005 to the current year.</t>
  </si>
  <si>
    <t>The month of the session. A two digit integer from 01 to 12.</t>
  </si>
  <si>
    <t>The week of the session. A two-digit number from 01 to 53. Each week starts on Sunday.</t>
  </si>
  <si>
    <t>The ISO year of the session. Details: http://en.wikipedia.org/wiki/ISO_week_date. ga:isoYear should only be used with ga:isoWeek since ga:week represents gregorian calendar.</t>
  </si>
  <si>
    <t>ga:userAgeBracket</t>
  </si>
  <si>
    <t>Age bracket of user.</t>
  </si>
  <si>
    <t>ga:userGender</t>
  </si>
  <si>
    <t>Gender of user.</t>
  </si>
  <si>
    <t>ga:isTrueViewVideoAd</t>
  </si>
  <si>
    <t>'Yes' or 'No' - Indicates whether the ad is an AdWords TrueView video ad.</t>
  </si>
  <si>
    <t>ga:nthHour</t>
  </si>
  <si>
    <t>Index for each hour in the specified date range. Index for the first hour of first day (i.e., start-date) in the date range is 0, 1 for the next hour, and so on.</t>
  </si>
  <si>
    <t>Loganis date dimension</t>
  </si>
  <si>
    <t>Europe</t>
  </si>
  <si>
    <t>Americas</t>
  </si>
  <si>
    <t>Asia</t>
  </si>
  <si>
    <t>Africa</t>
  </si>
  <si>
    <t>Oceania</t>
  </si>
  <si>
    <t>ch0:ga:sessions</t>
  </si>
  <si>
    <t>ch0:ga:visitbouncerate</t>
  </si>
  <si>
    <t>tablet</t>
  </si>
  <si>
    <t>mobile</t>
  </si>
  <si>
    <t>desktop</t>
  </si>
  <si>
    <t>(not set)</t>
  </si>
  <si>
    <t>{ :met "ch0:ga:sessions,ch0:ga:visitbouncerate" :dim "ga:continent,ga:deviceCategory" :beg "2014-04-11" :end "2014-05-06"}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</si>
</sst>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8" x14ac:knownFonts="1">
    <font>
      <sz val="11"/>
      <color theme="1"/>
      <name val="Corbel"/>
      <family val="2"/>
      <scheme val="minor"/>
    </font>
    <font>
      <b/>
      <sz val="11"/>
      <color theme="1"/>
      <name val="Corbel"/>
      <family val="2"/>
      <scheme val="minor"/>
    </font>
    <font>
      <b/>
      <sz val="11"/>
      <color theme="4" tint="-0.249977111117893"/>
      <name val="Corbel"/>
      <family val="2"/>
      <scheme val="minor"/>
    </font>
    <font>
      <sz val="11"/>
      <color theme="1"/>
      <name val="Corbel"/>
      <family val="2"/>
      <scheme val="minor"/>
    </font>
    <font>
      <sz val="11"/>
      <color theme="2"/>
      <name val="Corbel"/>
      <family val="2"/>
      <scheme val="minor"/>
    </font>
    <font>
      <sz val="8"/>
      <name val="Corbel"/>
      <family val="2"/>
      <scheme val="minor"/>
    </font>
    <font>
      <sz val="11"/>
      <color rgb="FF006100"/>
      <name val="Corbel"/>
      <family val="2"/>
      <scheme val="minor"/>
    </font>
    <font>
      <sz val="11"/>
      <color rgb="FF9C6500"/>
      <name val="Corbel"/>
      <family val="2"/>
      <scheme val="minor"/>
    </font>
    <font>
      <b/>
      <sz val="11"/>
      <color rgb="FF3F3F3F"/>
      <name val="Corbel"/>
      <family val="2"/>
      <scheme val="minor"/>
    </font>
    <font>
      <sz val="11"/>
      <color rgb="FFFF0000"/>
      <name val="Corbel"/>
      <family val="2"/>
      <scheme val="minor"/>
    </font>
    <font>
      <i/>
      <sz val="11"/>
      <color rgb="FF7F7F7F"/>
      <name val="Corbel"/>
      <family val="2"/>
      <scheme val="minor"/>
    </font>
    <font>
      <sz val="11"/>
      <color theme="0"/>
      <name val="Corbel"/>
      <family val="2"/>
      <scheme val="minor"/>
    </font>
    <font>
      <sz val="11"/>
      <color rgb="FF3F3F3F"/>
      <name val="Corbel"/>
      <family val="2"/>
      <scheme val="minor"/>
    </font>
    <font>
      <sz val="14"/>
      <color rgb="FFFF0000"/>
      <name val="Corbel"/>
      <family val="2"/>
      <scheme val="minor"/>
    </font>
    <font>
      <sz val="12"/>
      <color rgb="FFFF0000"/>
      <name val="Corbel"/>
      <family val="2"/>
      <scheme val="minor"/>
    </font>
    <font>
      <u/>
      <sz val="11"/>
      <color theme="10"/>
      <name val="Corbel"/>
      <family val="2"/>
      <scheme val="minor"/>
    </font>
    <font>
      <sz val="18"/>
      <color rgb="FF000000"/>
      <name val="Corbel"/>
      <family val="2"/>
    </font>
    <font>
      <b/>
      <sz val="12"/>
      <color theme="1"/>
      <name val="Corbel"/>
      <family val="2"/>
      <scheme val="minor"/>
    </font>
  </fonts>
  <fills count="9">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9"/>
      </patternFill>
    </fill>
    <fill>
      <patternFill patternType="solid">
        <fgColor theme="0"/>
        <bgColor indexed="64"/>
      </patternFill>
    </fill>
    <fill>
      <patternFill patternType="solid">
        <fgColor theme="8" tint="-0.249977111117893"/>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3F3F3F"/>
      </right>
      <top style="thin">
        <color indexed="64"/>
      </top>
      <bottom style="thin">
        <color indexed="64"/>
      </bottom>
      <diagonal/>
    </border>
    <border>
      <left style="thin">
        <color rgb="FF3F3F3F"/>
      </left>
      <right style="thin">
        <color indexed="64"/>
      </right>
      <top style="thin">
        <color indexed="64"/>
      </top>
      <bottom style="thin">
        <color indexed="64"/>
      </bottom>
      <diagonal/>
    </border>
  </borders>
  <cellStyleXfs count="9">
    <xf numFmtId="0" fontId="0" fillId="0" borderId="0"/>
    <xf numFmtId="0" fontId="6" fillId="2" borderId="0" applyNumberFormat="0" applyBorder="0" applyAlignment="0" applyProtection="0"/>
    <xf numFmtId="0" fontId="7" fillId="3" borderId="0" applyNumberFormat="0" applyBorder="0" applyAlignment="0" applyProtection="0"/>
    <xf numFmtId="0" fontId="8" fillId="4" borderId="9" applyNumberFormat="0" applyAlignment="0" applyProtection="0"/>
    <xf numFmtId="0" fontId="9" fillId="0" borderId="0" applyNumberFormat="0" applyFill="0" applyBorder="0" applyAlignment="0" applyProtection="0"/>
    <xf numFmtId="0" fontId="3" fillId="5" borderId="10" applyNumberFormat="0" applyFont="0" applyAlignment="0" applyProtection="0"/>
    <xf numFmtId="0" fontId="10" fillId="0" borderId="0" applyNumberFormat="0" applyFill="0" applyBorder="0" applyAlignment="0" applyProtection="0"/>
    <xf numFmtId="0" fontId="11" fillId="6" borderId="0" applyNumberFormat="0" applyBorder="0" applyAlignment="0" applyProtection="0"/>
    <xf numFmtId="0" fontId="15" fillId="0" borderId="0" applyNumberFormat="0" applyFill="0" applyBorder="0" applyAlignment="0" applyProtection="0"/>
  </cellStyleXfs>
  <cellXfs count="58">
    <xf numFmtId="0" fontId="0" fillId="0" borderId="0" xfId="0"/>
    <xf numFmtId="0" fontId="1" fillId="0" borderId="0" xfId="0" applyFont="1"/>
    <xf numFmtId="0" fontId="1" fillId="0" borderId="0" xfId="0" quotePrefix="1" applyFont="1"/>
    <xf numFmtId="0" fontId="4" fillId="0" borderId="0" xfId="0" applyFont="1" applyFill="1" applyBorder="1"/>
    <xf numFmtId="0" fontId="4" fillId="0" borderId="0" xfId="0" applyFont="1"/>
    <xf numFmtId="1" fontId="0" fillId="0" borderId="0" xfId="0" applyNumberFormat="1"/>
    <xf numFmtId="0" fontId="0" fillId="0" borderId="0" xfId="0" applyBorder="1"/>
    <xf numFmtId="0" fontId="2" fillId="0" borderId="0" xfId="0" applyFont="1" applyBorder="1"/>
    <xf numFmtId="0" fontId="1" fillId="0" borderId="0" xfId="0" applyFont="1" applyFill="1" applyBorder="1"/>
    <xf numFmtId="0" fontId="5" fillId="0" borderId="0" xfId="0" applyFont="1" applyBorder="1" applyAlignment="1">
      <alignment wrapText="1"/>
    </xf>
    <xf numFmtId="0" fontId="0" fillId="0" borderId="0" xfId="0" applyAlignment="1">
      <alignment horizontal="center" vertical="center"/>
    </xf>
    <xf numFmtId="0" fontId="7" fillId="3" borderId="2" xfId="2" applyBorder="1"/>
    <xf numFmtId="0" fontId="7" fillId="3" borderId="3" xfId="2" applyBorder="1"/>
    <xf numFmtId="0" fontId="7" fillId="3" borderId="0" xfId="2" applyBorder="1"/>
    <xf numFmtId="0" fontId="7" fillId="3" borderId="5" xfId="2" applyBorder="1"/>
    <xf numFmtId="164" fontId="7" fillId="3" borderId="5" xfId="2" quotePrefix="1" applyNumberFormat="1" applyBorder="1" applyAlignment="1">
      <alignment horizontal="left"/>
    </xf>
    <xf numFmtId="0" fontId="7" fillId="3" borderId="5" xfId="2" applyBorder="1" applyAlignment="1">
      <alignment horizontal="left"/>
    </xf>
    <xf numFmtId="0" fontId="7" fillId="3" borderId="7" xfId="2" applyBorder="1"/>
    <xf numFmtId="0" fontId="7" fillId="3" borderId="8" xfId="2" quotePrefix="1" applyBorder="1"/>
    <xf numFmtId="0" fontId="11" fillId="6" borderId="1" xfId="7" applyBorder="1"/>
    <xf numFmtId="0" fontId="11" fillId="6" borderId="4" xfId="7" applyBorder="1"/>
    <xf numFmtId="0" fontId="11" fillId="6" borderId="6" xfId="7" applyBorder="1"/>
    <xf numFmtId="0" fontId="11" fillId="6" borderId="11" xfId="7" applyBorder="1"/>
    <xf numFmtId="0" fontId="7" fillId="3" borderId="13" xfId="2" applyBorder="1"/>
    <xf numFmtId="0" fontId="10" fillId="0" borderId="0" xfId="6"/>
    <xf numFmtId="0" fontId="8" fillId="4" borderId="19" xfId="3" quotePrefix="1" applyFont="1" applyBorder="1" applyAlignment="1">
      <alignment horizontal="center"/>
    </xf>
    <xf numFmtId="0" fontId="12" fillId="4" borderId="14" xfId="3" quotePrefix="1" applyFont="1" applyBorder="1"/>
    <xf numFmtId="1" fontId="12" fillId="4" borderId="15" xfId="3" quotePrefix="1" applyNumberFormat="1" applyFont="1" applyBorder="1"/>
    <xf numFmtId="0" fontId="12" fillId="4" borderId="15" xfId="3" quotePrefix="1" applyFont="1" applyBorder="1"/>
    <xf numFmtId="0" fontId="12" fillId="4" borderId="14" xfId="3" applyFont="1" applyBorder="1"/>
    <xf numFmtId="0" fontId="12" fillId="4" borderId="15" xfId="3" applyFont="1" applyBorder="1"/>
    <xf numFmtId="0" fontId="12" fillId="4" borderId="16" xfId="3" applyFont="1" applyBorder="1"/>
    <xf numFmtId="0" fontId="12" fillId="4" borderId="17" xfId="3" applyFont="1" applyBorder="1"/>
    <xf numFmtId="0" fontId="8" fillId="4" borderId="18" xfId="3" quotePrefix="1" applyFont="1" applyBorder="1" applyAlignment="1">
      <alignment horizontal="center"/>
    </xf>
    <xf numFmtId="0" fontId="6" fillId="2" borderId="0" xfId="1"/>
    <xf numFmtId="0" fontId="11" fillId="6" borderId="12" xfId="7" applyBorder="1"/>
    <xf numFmtId="0" fontId="13" fillId="0" borderId="0" xfId="4" applyFont="1" applyAlignment="1">
      <alignment horizontal="center" vertical="center"/>
    </xf>
    <xf numFmtId="0" fontId="13" fillId="0" borderId="0" xfId="4" applyFont="1" applyAlignment="1">
      <alignment horizontal="left" vertical="center"/>
    </xf>
    <xf numFmtId="0" fontId="14" fillId="0" borderId="0" xfId="4" applyFont="1" applyAlignment="1">
      <alignment horizontal="center"/>
    </xf>
    <xf numFmtId="0" fontId="1" fillId="0" borderId="0" xfId="0" applyFont="1" applyAlignment="1">
      <alignment wrapText="1"/>
    </xf>
    <xf numFmtId="0" fontId="0" fillId="0" borderId="0" xfId="0" applyAlignment="1">
      <alignment wrapText="1"/>
    </xf>
    <xf numFmtId="0" fontId="1" fillId="7" borderId="0" xfId="0" applyFont="1" applyFill="1" applyAlignment="1">
      <alignment wrapText="1"/>
    </xf>
    <xf numFmtId="0" fontId="0" fillId="7" borderId="0" xfId="0" applyFill="1" applyAlignment="1">
      <alignment wrapText="1"/>
    </xf>
    <xf numFmtId="0" fontId="15" fillId="0" borderId="0" xfId="8"/>
    <xf numFmtId="0" fontId="7" fillId="3" borderId="13" xfId="2" applyBorder="1" applyAlignment="1">
      <alignment wrapText="1"/>
    </xf>
    <xf numFmtId="0" fontId="0" fillId="0" borderId="0" xfId="0" applyFont="1" applyFill="1" applyBorder="1"/>
    <xf numFmtId="0" fontId="0" fillId="0" borderId="4" xfId="0" applyFont="1" applyFill="1" applyBorder="1"/>
    <xf numFmtId="0" fontId="0" fillId="0" borderId="5" xfId="0" applyBorder="1"/>
    <xf numFmtId="0" fontId="0" fillId="0" borderId="4" xfId="0" applyFont="1" applyBorder="1"/>
    <xf numFmtId="0" fontId="0" fillId="0" borderId="0" xfId="0" applyFont="1" applyBorder="1"/>
    <xf numFmtId="0" fontId="0" fillId="0" borderId="4" xfId="0" applyBorder="1"/>
    <xf numFmtId="0" fontId="0" fillId="0" borderId="6" xfId="0" applyBorder="1"/>
    <xf numFmtId="0" fontId="0" fillId="0" borderId="7" xfId="0" applyBorder="1"/>
    <xf numFmtId="0" fontId="0" fillId="0" borderId="8" xfId="0" applyBorder="1"/>
    <xf numFmtId="0" fontId="17" fillId="8" borderId="1" xfId="0" applyFont="1" applyFill="1" applyBorder="1"/>
    <xf numFmtId="0" fontId="17" fillId="8" borderId="2" xfId="0" applyFont="1" applyFill="1" applyBorder="1"/>
    <xf numFmtId="0" fontId="17" fillId="8" borderId="3" xfId="0" applyFont="1" applyFill="1" applyBorder="1"/>
    <xf numFmtId="0" fontId="0" fillId="5" borderId="10" xfId="5" applyFont="1" applyAlignment="1">
      <alignment horizontal="center" vertical="center" wrapText="1"/>
    </xf>
  </cellXfs>
  <cellStyles count="9">
    <cellStyle name="Accent6" xfId="7" builtinId="49"/>
    <cellStyle name="Explanatory Text" xfId="6" builtinId="53"/>
    <cellStyle name="Good" xfId="1" builtinId="26"/>
    <cellStyle name="Hyperlink" xfId="8" builtinId="8"/>
    <cellStyle name="Neutral" xfId="2" builtinId="28"/>
    <cellStyle name="Normal" xfId="0" builtinId="0"/>
    <cellStyle name="Note" xfId="5" builtinId="10"/>
    <cellStyle name="Output" xfId="3" builtinId="21"/>
    <cellStyle name="Warning Text" xfId="4" builtinId="11"/>
  </cellStyles>
  <dxfs count="4">
    <dxf>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orbel"/>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8.243809887794562E-4"/>
          <c:y val="8.53046643131919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'Simple Query'!$C$2</c:f>
              <c:strCache>
                <c:ptCount val="1"/>
                <c:pt idx="0">
                  <c:v>ch0:ga:sessions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Pt>
            <c:idx val="5"/>
            <c:bubble3D val="0"/>
            <c:spPr>
              <a:solidFill>
                <a:schemeClr val="accent6"/>
              </a:solidFill>
              <a:ln>
                <a:noFill/>
              </a:ln>
              <a:effectLst>
                <a:outerShdw blurRad="254000" sx="102000" sy="102000" algn="ctr" rotWithShape="0">
                  <a:prstClr val="black">
                    <a:alpha val="20000"/>
                  </a:prstClr>
                </a:outerShdw>
              </a:effectLst>
              <a:sp3d/>
            </c:spPr>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extLst>
                <c:ext xmlns:c15="http://schemas.microsoft.com/office/drawing/2012/chart" uri="{02D57815-91ED-43cb-92C2-25804820EDAC}">
                  <c15:fullRef>
                    <c15:sqref>'Simple Query'!$B$3:$B$170</c15:sqref>
                  </c15:fullRef>
                </c:ext>
              </c:extLst>
              <c:f>'Simple Query'!$B$3:$B$11</c:f>
              <c:strCache>
                <c:ptCount val="3"/>
                <c:pt idx="0">
                  <c:v>tablet</c:v>
                </c:pt>
                <c:pt idx="1">
                  <c:v>mobile</c:v>
                </c:pt>
                <c:pt idx="2">
                  <c:v>desktop</c:v>
                </c:pt>
              </c:strCache>
            </c:strRef>
          </c:cat>
          <c:val>
            <c:numRef>
              <c:extLst>
                <c:ext xmlns:c15="http://schemas.microsoft.com/office/drawing/2012/chart" uri="{02D57815-91ED-43cb-92C2-25804820EDAC}">
                  <c15:fullRef>
                    <c15:sqref>'Simple Query'!$C$3:$C$170</c15:sqref>
                  </c15:fullRef>
                </c:ext>
              </c:extLst>
              <c:f>'Simple Query'!$C$3:$C$11</c:f>
              <c:numCache>
                <c:formatCode>0</c:formatCode>
                <c:ptCount val="9"/>
                <c:pt idx="0">
                  <c:v>1881</c:v>
                </c:pt>
                <c:pt idx="1">
                  <c:v>7147</c:v>
                </c:pt>
                <c:pt idx="2">
                  <c:v>20174</c:v>
                </c:pt>
              </c:numCache>
            </c:numRef>
          </c:val>
          <c:extLst>
            <c:ext xmlns:c15="http://schemas.microsoft.com/office/drawing/2012/chart" uri="{02D57815-91ED-43cb-92C2-25804820EDAC}">
              <c15:categoryFilterExceptions/>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385592</xdr:colOff>
      <xdr:row>12</xdr:row>
      <xdr:rowOff>24987</xdr:rowOff>
    </xdr:from>
    <xdr:to>
      <xdr:col>6</xdr:col>
      <xdr:colOff>1068295</xdr:colOff>
      <xdr:row>28</xdr:row>
      <xdr:rowOff>76637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246530</xdr:colOff>
      <xdr:row>0</xdr:row>
      <xdr:rowOff>89647</xdr:rowOff>
    </xdr:from>
    <xdr:to>
      <xdr:col>9</xdr:col>
      <xdr:colOff>155203</xdr:colOff>
      <xdr:row>2</xdr:row>
      <xdr:rowOff>22972</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5295" y="89647"/>
          <a:ext cx="1455084"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xdr:row>
      <xdr:rowOff>11206</xdr:rowOff>
    </xdr:from>
    <xdr:to>
      <xdr:col>10</xdr:col>
      <xdr:colOff>235324</xdr:colOff>
      <xdr:row>4</xdr:row>
      <xdr:rowOff>78441</xdr:rowOff>
    </xdr:to>
    <xdr:cxnSp macro="">
      <xdr:nvCxnSpPr>
        <xdr:cNvPr id="6" name="Straight Arrow Connector 5"/>
        <xdr:cNvCxnSpPr/>
      </xdr:nvCxnSpPr>
      <xdr:spPr>
        <a:xfrm flipH="1">
          <a:off x="9480176" y="784412"/>
          <a:ext cx="235324" cy="672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5</xdr:row>
      <xdr:rowOff>134470</xdr:rowOff>
    </xdr:from>
    <xdr:to>
      <xdr:col>10</xdr:col>
      <xdr:colOff>235325</xdr:colOff>
      <xdr:row>6</xdr:row>
      <xdr:rowOff>179296</xdr:rowOff>
    </xdr:to>
    <xdr:cxnSp macro="">
      <xdr:nvCxnSpPr>
        <xdr:cNvPr id="7" name="Straight Arrow Connector 6"/>
        <xdr:cNvCxnSpPr/>
      </xdr:nvCxnSpPr>
      <xdr:spPr>
        <a:xfrm flipH="1" flipV="1">
          <a:off x="9480176" y="1098176"/>
          <a:ext cx="235325" cy="2353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3</xdr:col>
          <xdr:colOff>819150</xdr:colOff>
          <xdr:row>2</xdr:row>
          <xdr:rowOff>123825</xdr:rowOff>
        </xdr:from>
        <xdr:to>
          <xdr:col>4</xdr:col>
          <xdr:colOff>971550</xdr:colOff>
          <xdr:row>9</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00"/>
                  </a:solidFill>
                  <a:latin typeface="Corbel"/>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2994547</xdr:colOff>
      <xdr:row>6</xdr:row>
      <xdr:rowOff>45854</xdr:rowOff>
    </xdr:from>
    <xdr:to>
      <xdr:col>2</xdr:col>
      <xdr:colOff>4446927</xdr:colOff>
      <xdr:row>7</xdr:row>
      <xdr:rowOff>165300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66013" y="1392492"/>
          <a:ext cx="1452380" cy="305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238125</xdr:colOff>
          <xdr:row>1</xdr:row>
          <xdr:rowOff>190500</xdr:rowOff>
        </xdr:from>
        <xdr:to>
          <xdr:col>4</xdr:col>
          <xdr:colOff>95250</xdr:colOff>
          <xdr:row>8</xdr:row>
          <xdr:rowOff>38100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00"/>
                  </a:solidFill>
                  <a:latin typeface="Corbel"/>
                </a:rPr>
                <a:t>Refresh</a:t>
              </a:r>
            </a:p>
          </xdr:txBody>
        </xdr:sp>
        <xdr:clientData fPrintsWithSheet="0"/>
      </xdr:twoCellAnchor>
    </mc:Choice>
    <mc:Fallback/>
  </mc:AlternateContent>
</xdr:wsDr>
</file>

<file path=xl/tables/table1.xml><?xml version="1.0" encoding="utf-8"?>
<table xmlns="http://schemas.openxmlformats.org/spreadsheetml/2006/main" id="1" name="Table1" displayName="Table1" ref="A2:E166" totalsRowShown="0" headerRowDxfId="3">
  <tableColumns count="5">
    <tableColumn id="1" name="Dimension"/>
    <tableColumn id="2" name="Dimension description" dataDxfId="2"/>
    <tableColumn id="5" name=" " dataDxfId="1"/>
    <tableColumn id="3" name="Metric"/>
    <tableColumn id="4" name="Metric description" dataDxfId="0"/>
  </tableColumns>
  <tableStyleInfo name="TableStyleMedium25" showFirstColumn="0" showLastColumn="0" showRowStripes="1" showColumnStripes="0"/>
</table>
</file>

<file path=xl/theme/theme1.xml><?xml version="1.0" encoding="utf-8"?>
<a:theme xmlns:a="http://schemas.openxmlformats.org/drawingml/2006/main" name="Depth">
  <a:themeElements>
    <a:clrScheme name="Depth">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Depth">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loganis.com/" TargetMode="External"/><Relationship Id="rId7" Type="http://schemas.openxmlformats.org/officeDocument/2006/relationships/ctrlProp" Target="../ctrlProps/ctrlProp1.xml"/><Relationship Id="rId2" Type="http://schemas.openxmlformats.org/officeDocument/2006/relationships/hyperlink" Target="http://docs.loganis.com/" TargetMode="External"/><Relationship Id="rId1" Type="http://schemas.openxmlformats.org/officeDocument/2006/relationships/hyperlink" Target="https://ldash.loganis.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loganis.com/" TargetMode="External"/><Relationship Id="rId1" Type="http://schemas.openxmlformats.org/officeDocument/2006/relationships/hyperlink" Target="http://docs.loganis.com/"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R170"/>
  <sheetViews>
    <sheetView showGridLines="0" tabSelected="1" zoomScale="87" zoomScaleNormal="85" workbookViewId="0">
      <selection activeCell="L16" sqref="L16"/>
    </sheetView>
  </sheetViews>
  <sheetFormatPr defaultRowHeight="15" x14ac:dyDescent="0.25"/>
  <cols>
    <col min="2" max="2" width="21.75" customWidth="1"/>
    <col min="3" max="3" width="21.375" customWidth="1"/>
    <col min="4" max="5" width="15.875" customWidth="1"/>
    <col min="6" max="6" width="4.25" customWidth="1"/>
    <col min="7" max="7" width="16" customWidth="1"/>
    <col min="8" max="8" width="5.375" hidden="1" customWidth="1"/>
    <col min="9" max="9" width="10.25" hidden="1" customWidth="1"/>
    <col min="10" max="10" width="24" customWidth="1"/>
    <col min="11" max="11" width="3.25" customWidth="1"/>
    <col min="12" max="12" width="55.125" customWidth="1"/>
    <col min="16" max="16" width="14.5" customWidth="1"/>
  </cols>
  <sheetData>
    <row r="2" spans="1:18" x14ac:dyDescent="0.25">
      <c r="B2" s="33" t="s">
        <v>123</v>
      </c>
      <c r="C2" s="25" t="s">
        <v>627</v>
      </c>
      <c r="D2" s="2"/>
      <c r="E2" s="2"/>
      <c r="L2" s="43" t="s">
        <v>528</v>
      </c>
      <c r="R2" t="s">
        <v>25</v>
      </c>
    </row>
    <row r="3" spans="1:18" ht="15.75" thickBot="1" x14ac:dyDescent="0.3">
      <c r="A3" s="5"/>
      <c r="B3" s="26" t="s">
        <v>629</v>
      </c>
      <c r="C3" s="27">
        <v>1881</v>
      </c>
      <c r="D3" s="2"/>
      <c r="E3" s="2"/>
      <c r="L3" s="9"/>
      <c r="R3" t="str">
        <f ca="1">J4&amp;":"&amp;J5</f>
        <v>ch0:ga:sessions</v>
      </c>
    </row>
    <row r="4" spans="1:18" x14ac:dyDescent="0.25">
      <c r="A4" s="5"/>
      <c r="B4" s="26" t="s">
        <v>630</v>
      </c>
      <c r="C4" s="27">
        <v>7147</v>
      </c>
      <c r="D4" s="2"/>
      <c r="E4" s="2"/>
      <c r="G4" s="19" t="s">
        <v>23</v>
      </c>
      <c r="H4" s="11" t="s">
        <v>24</v>
      </c>
      <c r="I4" s="11" t="s">
        <v>16</v>
      </c>
      <c r="J4" s="12" t="s">
        <v>527</v>
      </c>
      <c r="K4" s="7"/>
      <c r="L4" s="57" t="str">
        <f ca="1">VLOOKUP(J5,Metadata!D3:E149,2,FALSE)</f>
        <v>Counts the total number of sessions.</v>
      </c>
      <c r="R4" t="str">
        <f ca="1">"-"&amp;R3</f>
        <v>-ch0:ga:sessions</v>
      </c>
    </row>
    <row r="5" spans="1:18" x14ac:dyDescent="0.25">
      <c r="A5" s="5"/>
      <c r="B5" s="26" t="s">
        <v>631</v>
      </c>
      <c r="C5" s="27">
        <v>20174</v>
      </c>
      <c r="D5" s="2"/>
      <c r="E5" s="2"/>
      <c r="G5" s="20" t="s">
        <v>0</v>
      </c>
      <c r="H5" s="13" t="s">
        <v>2</v>
      </c>
      <c r="I5" s="13" t="s">
        <v>16</v>
      </c>
      <c r="J5" s="14" t="s">
        <v>542</v>
      </c>
      <c r="L5" s="57"/>
      <c r="R5" t="str">
        <f ca="1">J6</f>
        <v>ga:deviceCategory</v>
      </c>
    </row>
    <row r="6" spans="1:18" x14ac:dyDescent="0.25">
      <c r="A6" s="5"/>
      <c r="B6" s="26"/>
      <c r="C6" s="27"/>
      <c r="D6" s="2"/>
      <c r="E6" s="2"/>
      <c r="G6" s="20" t="s">
        <v>1</v>
      </c>
      <c r="H6" s="13" t="s">
        <v>3</v>
      </c>
      <c r="I6" s="13" t="s">
        <v>16</v>
      </c>
      <c r="J6" s="14" t="s">
        <v>123</v>
      </c>
      <c r="K6" s="7"/>
      <c r="L6" s="10"/>
      <c r="R6" t="str">
        <f ca="1">"-"&amp;R5</f>
        <v>-ga:deviceCategory</v>
      </c>
    </row>
    <row r="7" spans="1:18" ht="15" customHeight="1" x14ac:dyDescent="0.25">
      <c r="A7" s="5"/>
      <c r="B7" s="26"/>
      <c r="C7" s="27"/>
      <c r="D7" s="2"/>
      <c r="E7" s="2"/>
      <c r="G7" s="20" t="s">
        <v>4</v>
      </c>
      <c r="H7" s="13" t="s">
        <v>6</v>
      </c>
      <c r="I7" s="13" t="s">
        <v>15</v>
      </c>
      <c r="J7" s="15">
        <f ca="1">TODAY()-28</f>
        <v>41749</v>
      </c>
      <c r="K7" s="4"/>
      <c r="L7" s="57" t="str">
        <f ca="1">VLOOKUP(J6,Metadata!A3:B166,2,FALSE)</f>
        <v>The type of device: desktop, tablet, or mobile.</v>
      </c>
      <c r="R7" t="s">
        <v>524</v>
      </c>
    </row>
    <row r="8" spans="1:18" x14ac:dyDescent="0.25">
      <c r="A8" s="5"/>
      <c r="B8" s="26"/>
      <c r="C8" s="27"/>
      <c r="D8" s="2"/>
      <c r="E8" s="2"/>
      <c r="G8" s="20" t="s">
        <v>5</v>
      </c>
      <c r="H8" s="13" t="s">
        <v>7</v>
      </c>
      <c r="I8" s="13" t="s">
        <v>15</v>
      </c>
      <c r="J8" s="15">
        <f ca="1">TODAY()-3</f>
        <v>41774</v>
      </c>
      <c r="K8" s="4"/>
      <c r="L8" s="57"/>
    </row>
    <row r="9" spans="1:18" x14ac:dyDescent="0.25">
      <c r="A9" s="5"/>
      <c r="B9" s="26"/>
      <c r="C9" s="27"/>
      <c r="D9" s="2"/>
      <c r="E9" s="2"/>
      <c r="G9" s="20" t="s">
        <v>10</v>
      </c>
      <c r="H9" s="13" t="s">
        <v>11</v>
      </c>
      <c r="I9" s="13" t="s">
        <v>17</v>
      </c>
      <c r="J9" s="16"/>
      <c r="K9" s="4"/>
    </row>
    <row r="10" spans="1:18" ht="15.75" thickBot="1" x14ac:dyDescent="0.3">
      <c r="A10" s="5"/>
      <c r="B10" s="26"/>
      <c r="C10" s="27"/>
      <c r="D10" s="2"/>
      <c r="E10" s="2"/>
      <c r="G10" s="21" t="s">
        <v>12</v>
      </c>
      <c r="H10" s="17" t="s">
        <v>13</v>
      </c>
      <c r="I10" s="17" t="s">
        <v>16</v>
      </c>
      <c r="J10" s="18" t="s">
        <v>627</v>
      </c>
      <c r="K10" s="4"/>
    </row>
    <row r="11" spans="1:18" x14ac:dyDescent="0.25">
      <c r="A11" s="5"/>
      <c r="B11" s="26"/>
      <c r="C11" s="27"/>
      <c r="D11" s="2"/>
      <c r="E11" s="2"/>
      <c r="G11" s="8"/>
      <c r="H11" s="3"/>
      <c r="I11" s="3"/>
      <c r="J11" s="6"/>
      <c r="K11" s="4"/>
    </row>
    <row r="12" spans="1:18" x14ac:dyDescent="0.25">
      <c r="A12" s="5"/>
      <c r="B12" s="26"/>
      <c r="C12" s="27"/>
      <c r="D12" s="2"/>
      <c r="E12" s="2"/>
      <c r="G12" s="8"/>
      <c r="H12" s="3"/>
      <c r="I12" s="3"/>
      <c r="J12" s="6"/>
      <c r="K12" s="4"/>
    </row>
    <row r="13" spans="1:18" ht="15" customHeight="1" x14ac:dyDescent="0.25">
      <c r="A13" s="5"/>
      <c r="B13" s="26"/>
      <c r="C13" s="27"/>
      <c r="D13" s="2"/>
      <c r="E13" s="2"/>
      <c r="J13" s="37" t="str">
        <f ca="1">IF(L18="", "To download your web data please obtain a token from","")</f>
        <v/>
      </c>
      <c r="K13" s="36"/>
      <c r="L13" s="36"/>
    </row>
    <row r="14" spans="1:18" ht="15" customHeight="1" x14ac:dyDescent="0.25">
      <c r="A14" s="5"/>
      <c r="B14" s="26"/>
      <c r="C14" s="27"/>
      <c r="D14" s="2"/>
      <c r="E14" s="2"/>
      <c r="J14" s="36"/>
      <c r="K14" s="36"/>
      <c r="L14" s="38" t="str">
        <f ca="1">IF(J13&lt;&gt;"", "https://ldash.loganis.com","")</f>
        <v/>
      </c>
    </row>
    <row r="15" spans="1:18" x14ac:dyDescent="0.25">
      <c r="A15" s="5"/>
      <c r="B15" s="26"/>
      <c r="C15" s="27"/>
      <c r="D15" s="2"/>
      <c r="E15" s="2"/>
      <c r="K15" s="3"/>
    </row>
    <row r="16" spans="1:18" x14ac:dyDescent="0.25">
      <c r="A16" s="5"/>
      <c r="B16" s="26"/>
      <c r="C16" s="27"/>
      <c r="D16" s="2"/>
      <c r="E16" s="2"/>
    </row>
    <row r="17" spans="1:12" ht="15.75" thickBot="1" x14ac:dyDescent="0.3">
      <c r="A17" s="5"/>
      <c r="B17" s="26"/>
      <c r="C17" s="27"/>
      <c r="D17" s="2"/>
      <c r="E17" s="2"/>
    </row>
    <row r="18" spans="1:12" ht="15.75" thickBot="1" x14ac:dyDescent="0.3">
      <c r="A18" s="5"/>
      <c r="B18" s="26"/>
      <c r="C18" s="27"/>
      <c r="D18" s="2"/>
      <c r="E18" s="2"/>
      <c r="J18" s="22" t="s">
        <v>8</v>
      </c>
      <c r="K18" s="35"/>
      <c r="L18" s="23"/>
    </row>
    <row r="19" spans="1:12" x14ac:dyDescent="0.25">
      <c r="A19" s="5"/>
      <c r="B19" s="26"/>
      <c r="C19" s="27"/>
      <c r="D19" s="2"/>
      <c r="E19" s="2"/>
    </row>
    <row r="20" spans="1:12" x14ac:dyDescent="0.25">
      <c r="A20" s="5"/>
      <c r="B20" s="26"/>
      <c r="C20" s="27"/>
      <c r="D20" s="2"/>
      <c r="E20" s="2"/>
      <c r="J20" s="24" t="s">
        <v>9</v>
      </c>
      <c r="K20" s="24"/>
      <c r="L20" s="24" t="str">
        <f ca="1">LDTrf(H4:H10,I4:I10,J4:J10)</f>
        <v>{ :met "ch0:ga:sessions" :dim "ga:deviceCategory" :beg "2014-04-20" :end "2014-05-15" :ord "ch0:ga:sessions" }</v>
      </c>
    </row>
    <row r="21" spans="1:12" x14ac:dyDescent="0.25">
      <c r="A21" s="5"/>
      <c r="B21" s="26"/>
      <c r="C21" s="27"/>
      <c r="D21" s="2"/>
      <c r="E21" s="2"/>
    </row>
    <row r="22" spans="1:12" x14ac:dyDescent="0.25">
      <c r="A22" s="5"/>
      <c r="B22" s="26"/>
      <c r="C22" s="27"/>
      <c r="D22" s="2"/>
      <c r="E22" s="2"/>
    </row>
    <row r="23" spans="1:12" x14ac:dyDescent="0.25">
      <c r="A23" s="5"/>
      <c r="B23" s="26"/>
      <c r="C23" s="28"/>
      <c r="D23" s="2"/>
      <c r="E23" s="2"/>
    </row>
    <row r="24" spans="1:12" x14ac:dyDescent="0.25">
      <c r="A24" s="5"/>
      <c r="B24" s="26"/>
      <c r="C24" s="28"/>
      <c r="D24" s="2"/>
      <c r="E24" s="2"/>
    </row>
    <row r="25" spans="1:12" x14ac:dyDescent="0.25">
      <c r="A25" s="5"/>
      <c r="B25" s="26"/>
      <c r="C25" s="28"/>
      <c r="D25" s="2"/>
      <c r="E25" s="2"/>
    </row>
    <row r="26" spans="1:12" x14ac:dyDescent="0.25">
      <c r="A26" s="5"/>
      <c r="B26" s="26"/>
      <c r="C26" s="28"/>
      <c r="D26" s="2"/>
      <c r="E26" s="2"/>
    </row>
    <row r="27" spans="1:12" x14ac:dyDescent="0.25">
      <c r="A27" s="5"/>
      <c r="B27" s="26"/>
      <c r="C27" s="28"/>
      <c r="D27" s="2"/>
      <c r="E27" s="2"/>
      <c r="J27" s="34" t="s">
        <v>525</v>
      </c>
      <c r="K27" s="34"/>
      <c r="L27" s="34" t="s">
        <v>526</v>
      </c>
    </row>
    <row r="28" spans="1:12" x14ac:dyDescent="0.25">
      <c r="A28" s="5"/>
      <c r="B28" s="26"/>
      <c r="C28" s="28"/>
      <c r="D28" s="2"/>
      <c r="E28" s="2"/>
    </row>
    <row r="29" spans="1:12" x14ac:dyDescent="0.25">
      <c r="A29" s="5"/>
      <c r="B29" s="26"/>
      <c r="C29" s="28"/>
      <c r="D29" s="2"/>
      <c r="E29" s="2"/>
    </row>
    <row r="30" spans="1:12" x14ac:dyDescent="0.25">
      <c r="A30" s="5"/>
      <c r="B30" s="26"/>
      <c r="C30" s="28"/>
      <c r="D30" s="2"/>
      <c r="E30" s="2"/>
    </row>
    <row r="31" spans="1:12" x14ac:dyDescent="0.25">
      <c r="A31" s="5"/>
      <c r="B31" s="26"/>
      <c r="C31" s="28"/>
      <c r="D31" s="2"/>
      <c r="E31" s="2"/>
    </row>
    <row r="32" spans="1:12" x14ac:dyDescent="0.25">
      <c r="A32" s="5"/>
      <c r="B32" s="26"/>
      <c r="C32" s="28"/>
      <c r="D32" s="2"/>
      <c r="E32" s="2"/>
    </row>
    <row r="33" spans="1:5" x14ac:dyDescent="0.25">
      <c r="A33" s="5"/>
      <c r="B33" s="26"/>
      <c r="C33" s="28"/>
      <c r="D33" s="2"/>
      <c r="E33" s="2"/>
    </row>
    <row r="34" spans="1:5" x14ac:dyDescent="0.25">
      <c r="B34" s="26"/>
      <c r="C34" s="28"/>
      <c r="D34" s="2"/>
      <c r="E34" s="2"/>
    </row>
    <row r="35" spans="1:5" x14ac:dyDescent="0.25">
      <c r="B35" s="26"/>
      <c r="C35" s="28"/>
      <c r="D35" s="2"/>
      <c r="E35" s="2"/>
    </row>
    <row r="36" spans="1:5" x14ac:dyDescent="0.25">
      <c r="B36" s="26"/>
      <c r="C36" s="28"/>
      <c r="D36" s="2"/>
      <c r="E36" s="2"/>
    </row>
    <row r="37" spans="1:5" x14ac:dyDescent="0.25">
      <c r="B37" s="26"/>
      <c r="C37" s="28"/>
      <c r="D37" s="2"/>
      <c r="E37" s="2"/>
    </row>
    <row r="38" spans="1:5" x14ac:dyDescent="0.25">
      <c r="B38" s="26"/>
      <c r="C38" s="28"/>
      <c r="D38" s="2"/>
      <c r="E38" s="2"/>
    </row>
    <row r="39" spans="1:5" x14ac:dyDescent="0.25">
      <c r="B39" s="26"/>
      <c r="C39" s="28"/>
      <c r="D39" s="2"/>
      <c r="E39" s="2"/>
    </row>
    <row r="40" spans="1:5" x14ac:dyDescent="0.25">
      <c r="B40" s="26"/>
      <c r="C40" s="28"/>
      <c r="D40" s="2"/>
      <c r="E40" s="2"/>
    </row>
    <row r="41" spans="1:5" x14ac:dyDescent="0.25">
      <c r="B41" s="26"/>
      <c r="C41" s="28"/>
      <c r="D41" s="2"/>
      <c r="E41" s="2"/>
    </row>
    <row r="42" spans="1:5" x14ac:dyDescent="0.25">
      <c r="B42" s="26"/>
      <c r="C42" s="28"/>
      <c r="D42" s="2"/>
      <c r="E42" s="2"/>
    </row>
    <row r="43" spans="1:5" x14ac:dyDescent="0.25">
      <c r="B43" s="26"/>
      <c r="C43" s="28"/>
      <c r="D43" s="2"/>
      <c r="E43" s="2"/>
    </row>
    <row r="44" spans="1:5" x14ac:dyDescent="0.25">
      <c r="B44" s="26"/>
      <c r="C44" s="28"/>
      <c r="D44" s="2"/>
      <c r="E44" s="2"/>
    </row>
    <row r="45" spans="1:5" x14ac:dyDescent="0.25">
      <c r="B45" s="26"/>
      <c r="C45" s="28"/>
      <c r="D45" s="2"/>
      <c r="E45" s="2"/>
    </row>
    <row r="46" spans="1:5" x14ac:dyDescent="0.25">
      <c r="B46" s="26"/>
      <c r="C46" s="28"/>
      <c r="D46" s="2"/>
      <c r="E46" s="2"/>
    </row>
    <row r="47" spans="1:5" x14ac:dyDescent="0.25">
      <c r="B47" s="26"/>
      <c r="C47" s="28"/>
      <c r="D47" s="2"/>
      <c r="E47" s="2"/>
    </row>
    <row r="48" spans="1:5" x14ac:dyDescent="0.25">
      <c r="B48" s="26"/>
      <c r="C48" s="28"/>
      <c r="D48" s="2"/>
      <c r="E48" s="2"/>
    </row>
    <row r="49" spans="2:5" x14ac:dyDescent="0.25">
      <c r="B49" s="26"/>
      <c r="C49" s="28"/>
      <c r="D49" s="2"/>
      <c r="E49" s="2"/>
    </row>
    <row r="50" spans="2:5" x14ac:dyDescent="0.25">
      <c r="B50" s="26"/>
      <c r="C50" s="28"/>
      <c r="D50" s="2"/>
      <c r="E50" s="2"/>
    </row>
    <row r="51" spans="2:5" x14ac:dyDescent="0.25">
      <c r="B51" s="26"/>
      <c r="C51" s="28"/>
      <c r="D51" s="2"/>
      <c r="E51" s="2"/>
    </row>
    <row r="52" spans="2:5" x14ac:dyDescent="0.25">
      <c r="B52" s="26"/>
      <c r="C52" s="28"/>
      <c r="D52" s="2"/>
      <c r="E52" s="2"/>
    </row>
    <row r="53" spans="2:5" x14ac:dyDescent="0.25">
      <c r="B53" s="26"/>
      <c r="C53" s="28"/>
      <c r="D53" s="2"/>
      <c r="E53" s="2"/>
    </row>
    <row r="54" spans="2:5" x14ac:dyDescent="0.25">
      <c r="B54" s="26"/>
      <c r="C54" s="28"/>
      <c r="D54" s="2"/>
      <c r="E54" s="2"/>
    </row>
    <row r="55" spans="2:5" x14ac:dyDescent="0.25">
      <c r="B55" s="26"/>
      <c r="C55" s="28"/>
      <c r="D55" s="2"/>
      <c r="E55" s="2"/>
    </row>
    <row r="56" spans="2:5" x14ac:dyDescent="0.25">
      <c r="B56" s="26"/>
      <c r="C56" s="28"/>
      <c r="D56" s="2"/>
      <c r="E56" s="2"/>
    </row>
    <row r="57" spans="2:5" x14ac:dyDescent="0.25">
      <c r="B57" s="26"/>
      <c r="C57" s="28"/>
      <c r="D57" s="2"/>
      <c r="E57" s="2"/>
    </row>
    <row r="58" spans="2:5" x14ac:dyDescent="0.25">
      <c r="B58" s="26"/>
      <c r="C58" s="28"/>
      <c r="D58" s="2"/>
      <c r="E58" s="2"/>
    </row>
    <row r="59" spans="2:5" x14ac:dyDescent="0.25">
      <c r="B59" s="26"/>
      <c r="C59" s="28"/>
      <c r="D59" s="2"/>
      <c r="E59" s="2"/>
    </row>
    <row r="60" spans="2:5" x14ac:dyDescent="0.25">
      <c r="B60" s="26"/>
      <c r="C60" s="28"/>
      <c r="D60" s="2"/>
      <c r="E60" s="2"/>
    </row>
    <row r="61" spans="2:5" x14ac:dyDescent="0.25">
      <c r="B61" s="26"/>
      <c r="C61" s="28"/>
      <c r="D61" s="2"/>
      <c r="E61" s="2"/>
    </row>
    <row r="62" spans="2:5" x14ac:dyDescent="0.25">
      <c r="B62" s="26"/>
      <c r="C62" s="28"/>
      <c r="D62" s="2"/>
      <c r="E62" s="2"/>
    </row>
    <row r="63" spans="2:5" x14ac:dyDescent="0.25">
      <c r="B63" s="26"/>
      <c r="C63" s="28"/>
      <c r="D63" s="2"/>
      <c r="E63" s="2"/>
    </row>
    <row r="64" spans="2:5" x14ac:dyDescent="0.25">
      <c r="B64" s="26"/>
      <c r="C64" s="28"/>
      <c r="D64" s="2"/>
      <c r="E64" s="2"/>
    </row>
    <row r="65" spans="2:5" x14ac:dyDescent="0.25">
      <c r="B65" s="26"/>
      <c r="C65" s="28"/>
      <c r="D65" s="2"/>
      <c r="E65" s="2"/>
    </row>
    <row r="66" spans="2:5" x14ac:dyDescent="0.25">
      <c r="B66" s="26"/>
      <c r="C66" s="28"/>
      <c r="D66" s="2"/>
      <c r="E66" s="2"/>
    </row>
    <row r="67" spans="2:5" x14ac:dyDescent="0.25">
      <c r="B67" s="26"/>
      <c r="C67" s="28"/>
      <c r="D67" s="2"/>
      <c r="E67" s="2"/>
    </row>
    <row r="68" spans="2:5" x14ac:dyDescent="0.25">
      <c r="B68" s="26"/>
      <c r="C68" s="28"/>
      <c r="D68" s="2"/>
      <c r="E68" s="2"/>
    </row>
    <row r="69" spans="2:5" x14ac:dyDescent="0.25">
      <c r="B69" s="26"/>
      <c r="C69" s="28"/>
      <c r="D69" s="2"/>
      <c r="E69" s="2"/>
    </row>
    <row r="70" spans="2:5" x14ac:dyDescent="0.25">
      <c r="B70" s="26"/>
      <c r="C70" s="28"/>
      <c r="D70" s="2"/>
      <c r="E70" s="2"/>
    </row>
    <row r="71" spans="2:5" x14ac:dyDescent="0.25">
      <c r="B71" s="26"/>
      <c r="C71" s="28"/>
      <c r="D71" s="2"/>
      <c r="E71" s="2"/>
    </row>
    <row r="72" spans="2:5" x14ac:dyDescent="0.25">
      <c r="B72" s="29"/>
      <c r="C72" s="30"/>
    </row>
    <row r="73" spans="2:5" x14ac:dyDescent="0.25">
      <c r="B73" s="29"/>
      <c r="C73" s="30"/>
    </row>
    <row r="74" spans="2:5" x14ac:dyDescent="0.25">
      <c r="B74" s="29"/>
      <c r="C74" s="30"/>
    </row>
    <row r="75" spans="2:5" x14ac:dyDescent="0.25">
      <c r="B75" s="29"/>
      <c r="C75" s="30"/>
    </row>
    <row r="76" spans="2:5" x14ac:dyDescent="0.25">
      <c r="B76" s="29"/>
      <c r="C76" s="30"/>
    </row>
    <row r="77" spans="2:5" x14ac:dyDescent="0.25">
      <c r="B77" s="29"/>
      <c r="C77" s="30"/>
    </row>
    <row r="78" spans="2:5" x14ac:dyDescent="0.25">
      <c r="B78" s="29"/>
      <c r="C78" s="30"/>
    </row>
    <row r="79" spans="2:5" x14ac:dyDescent="0.25">
      <c r="B79" s="29"/>
      <c r="C79" s="30"/>
    </row>
    <row r="80" spans="2:5" x14ac:dyDescent="0.25">
      <c r="B80" s="29"/>
      <c r="C80" s="30"/>
    </row>
    <row r="81" spans="2:3" x14ac:dyDescent="0.25">
      <c r="B81" s="29"/>
      <c r="C81" s="30"/>
    </row>
    <row r="82" spans="2:3" x14ac:dyDescent="0.25">
      <c r="B82" s="29"/>
      <c r="C82" s="30"/>
    </row>
    <row r="83" spans="2:3" x14ac:dyDescent="0.25">
      <c r="B83" s="29"/>
      <c r="C83" s="30"/>
    </row>
    <row r="84" spans="2:3" x14ac:dyDescent="0.25">
      <c r="B84" s="29"/>
      <c r="C84" s="30"/>
    </row>
    <row r="85" spans="2:3" x14ac:dyDescent="0.25">
      <c r="B85" s="29"/>
      <c r="C85" s="30"/>
    </row>
    <row r="86" spans="2:3" x14ac:dyDescent="0.25">
      <c r="B86" s="29"/>
      <c r="C86" s="30"/>
    </row>
    <row r="87" spans="2:3" x14ac:dyDescent="0.25">
      <c r="B87" s="29"/>
      <c r="C87" s="30"/>
    </row>
    <row r="88" spans="2:3" x14ac:dyDescent="0.25">
      <c r="B88" s="29"/>
      <c r="C88" s="30"/>
    </row>
    <row r="89" spans="2:3" x14ac:dyDescent="0.25">
      <c r="B89" s="29"/>
      <c r="C89" s="30"/>
    </row>
    <row r="90" spans="2:3" x14ac:dyDescent="0.25">
      <c r="B90" s="29"/>
      <c r="C90" s="30"/>
    </row>
    <row r="91" spans="2:3" x14ac:dyDescent="0.25">
      <c r="B91" s="29"/>
      <c r="C91" s="30"/>
    </row>
    <row r="92" spans="2:3" x14ac:dyDescent="0.25">
      <c r="B92" s="29"/>
      <c r="C92" s="30"/>
    </row>
    <row r="93" spans="2:3" x14ac:dyDescent="0.25">
      <c r="B93" s="29"/>
      <c r="C93" s="30"/>
    </row>
    <row r="94" spans="2:3" x14ac:dyDescent="0.25">
      <c r="B94" s="29"/>
      <c r="C94" s="30"/>
    </row>
    <row r="95" spans="2:3" x14ac:dyDescent="0.25">
      <c r="B95" s="29"/>
      <c r="C95" s="30"/>
    </row>
    <row r="96" spans="2:3" x14ac:dyDescent="0.25">
      <c r="B96" s="29"/>
      <c r="C96" s="30"/>
    </row>
    <row r="97" spans="2:3" x14ac:dyDescent="0.25">
      <c r="B97" s="29"/>
      <c r="C97" s="30"/>
    </row>
    <row r="98" spans="2:3" x14ac:dyDescent="0.25">
      <c r="B98" s="29"/>
      <c r="C98" s="30"/>
    </row>
    <row r="99" spans="2:3" x14ac:dyDescent="0.25">
      <c r="B99" s="29"/>
      <c r="C99" s="30"/>
    </row>
    <row r="100" spans="2:3" x14ac:dyDescent="0.25">
      <c r="B100" s="29"/>
      <c r="C100" s="30"/>
    </row>
    <row r="101" spans="2:3" x14ac:dyDescent="0.25">
      <c r="B101" s="29"/>
      <c r="C101" s="30"/>
    </row>
    <row r="102" spans="2:3" x14ac:dyDescent="0.25">
      <c r="B102" s="29"/>
      <c r="C102" s="30"/>
    </row>
    <row r="103" spans="2:3" x14ac:dyDescent="0.25">
      <c r="B103" s="29"/>
      <c r="C103" s="30"/>
    </row>
    <row r="104" spans="2:3" x14ac:dyDescent="0.25">
      <c r="B104" s="29"/>
      <c r="C104" s="30"/>
    </row>
    <row r="105" spans="2:3" x14ac:dyDescent="0.25">
      <c r="B105" s="29"/>
      <c r="C105" s="30"/>
    </row>
    <row r="106" spans="2:3" x14ac:dyDescent="0.25">
      <c r="B106" s="29"/>
      <c r="C106" s="30"/>
    </row>
    <row r="107" spans="2:3" x14ac:dyDescent="0.25">
      <c r="B107" s="29"/>
      <c r="C107" s="30"/>
    </row>
    <row r="108" spans="2:3" x14ac:dyDescent="0.25">
      <c r="B108" s="29"/>
      <c r="C108" s="30"/>
    </row>
    <row r="109" spans="2:3" x14ac:dyDescent="0.25">
      <c r="B109" s="29"/>
      <c r="C109" s="30"/>
    </row>
    <row r="110" spans="2:3" x14ac:dyDescent="0.25">
      <c r="B110" s="29"/>
      <c r="C110" s="30"/>
    </row>
    <row r="111" spans="2:3" x14ac:dyDescent="0.25">
      <c r="B111" s="29"/>
      <c r="C111" s="30"/>
    </row>
    <row r="112" spans="2:3" x14ac:dyDescent="0.25">
      <c r="B112" s="29"/>
      <c r="C112" s="30"/>
    </row>
    <row r="113" spans="2:3" x14ac:dyDescent="0.25">
      <c r="B113" s="29"/>
      <c r="C113" s="30"/>
    </row>
    <row r="114" spans="2:3" x14ac:dyDescent="0.25">
      <c r="B114" s="29"/>
      <c r="C114" s="30"/>
    </row>
    <row r="115" spans="2:3" x14ac:dyDescent="0.25">
      <c r="B115" s="29"/>
      <c r="C115" s="30"/>
    </row>
    <row r="116" spans="2:3" x14ac:dyDescent="0.25">
      <c r="B116" s="29"/>
      <c r="C116" s="30"/>
    </row>
    <row r="117" spans="2:3" x14ac:dyDescent="0.25">
      <c r="B117" s="29"/>
      <c r="C117" s="30"/>
    </row>
    <row r="118" spans="2:3" x14ac:dyDescent="0.25">
      <c r="B118" s="29"/>
      <c r="C118" s="30"/>
    </row>
    <row r="119" spans="2:3" x14ac:dyDescent="0.25">
      <c r="B119" s="29"/>
      <c r="C119" s="30"/>
    </row>
    <row r="120" spans="2:3" x14ac:dyDescent="0.25">
      <c r="B120" s="29"/>
      <c r="C120" s="30"/>
    </row>
    <row r="121" spans="2:3" x14ac:dyDescent="0.25">
      <c r="B121" s="29"/>
      <c r="C121" s="30"/>
    </row>
    <row r="122" spans="2:3" x14ac:dyDescent="0.25">
      <c r="B122" s="29"/>
      <c r="C122" s="30"/>
    </row>
    <row r="123" spans="2:3" x14ac:dyDescent="0.25">
      <c r="B123" s="29"/>
      <c r="C123" s="30"/>
    </row>
    <row r="124" spans="2:3" x14ac:dyDescent="0.25">
      <c r="B124" s="29"/>
      <c r="C124" s="30"/>
    </row>
    <row r="125" spans="2:3" x14ac:dyDescent="0.25">
      <c r="B125" s="29"/>
      <c r="C125" s="30"/>
    </row>
    <row r="126" spans="2:3" x14ac:dyDescent="0.25">
      <c r="B126" s="29"/>
      <c r="C126" s="30"/>
    </row>
    <row r="127" spans="2:3" x14ac:dyDescent="0.25">
      <c r="B127" s="29"/>
      <c r="C127" s="30"/>
    </row>
    <row r="128" spans="2:3" x14ac:dyDescent="0.25">
      <c r="B128" s="29"/>
      <c r="C128" s="30"/>
    </row>
    <row r="129" spans="2:3" x14ac:dyDescent="0.25">
      <c r="B129" s="29"/>
      <c r="C129" s="30"/>
    </row>
    <row r="130" spans="2:3" x14ac:dyDescent="0.25">
      <c r="B130" s="29"/>
      <c r="C130" s="30"/>
    </row>
    <row r="131" spans="2:3" x14ac:dyDescent="0.25">
      <c r="B131" s="29"/>
      <c r="C131" s="30"/>
    </row>
    <row r="132" spans="2:3" x14ac:dyDescent="0.25">
      <c r="B132" s="29"/>
      <c r="C132" s="30"/>
    </row>
    <row r="133" spans="2:3" x14ac:dyDescent="0.25">
      <c r="B133" s="29"/>
      <c r="C133" s="30"/>
    </row>
    <row r="134" spans="2:3" x14ac:dyDescent="0.25">
      <c r="B134" s="29"/>
      <c r="C134" s="30"/>
    </row>
    <row r="135" spans="2:3" x14ac:dyDescent="0.25">
      <c r="B135" s="29"/>
      <c r="C135" s="30"/>
    </row>
    <row r="136" spans="2:3" x14ac:dyDescent="0.25">
      <c r="B136" s="29"/>
      <c r="C136" s="30"/>
    </row>
    <row r="137" spans="2:3" x14ac:dyDescent="0.25">
      <c r="B137" s="29"/>
      <c r="C137" s="30"/>
    </row>
    <row r="138" spans="2:3" x14ac:dyDescent="0.25">
      <c r="B138" s="29"/>
      <c r="C138" s="30"/>
    </row>
    <row r="139" spans="2:3" x14ac:dyDescent="0.25">
      <c r="B139" s="29"/>
      <c r="C139" s="30"/>
    </row>
    <row r="140" spans="2:3" x14ac:dyDescent="0.25">
      <c r="B140" s="29"/>
      <c r="C140" s="30"/>
    </row>
    <row r="141" spans="2:3" x14ac:dyDescent="0.25">
      <c r="B141" s="29"/>
      <c r="C141" s="30"/>
    </row>
    <row r="142" spans="2:3" x14ac:dyDescent="0.25">
      <c r="B142" s="29"/>
      <c r="C142" s="30"/>
    </row>
    <row r="143" spans="2:3" x14ac:dyDescent="0.25">
      <c r="B143" s="29"/>
      <c r="C143" s="30"/>
    </row>
    <row r="144" spans="2:3" x14ac:dyDescent="0.25">
      <c r="B144" s="29"/>
      <c r="C144" s="30"/>
    </row>
    <row r="145" spans="2:3" x14ac:dyDescent="0.25">
      <c r="B145" s="29"/>
      <c r="C145" s="30"/>
    </row>
    <row r="146" spans="2:3" x14ac:dyDescent="0.25">
      <c r="B146" s="29"/>
      <c r="C146" s="30"/>
    </row>
    <row r="147" spans="2:3" x14ac:dyDescent="0.25">
      <c r="B147" s="29"/>
      <c r="C147" s="30"/>
    </row>
    <row r="148" spans="2:3" x14ac:dyDescent="0.25">
      <c r="B148" s="29"/>
      <c r="C148" s="30"/>
    </row>
    <row r="149" spans="2:3" x14ac:dyDescent="0.25">
      <c r="B149" s="29"/>
      <c r="C149" s="30"/>
    </row>
    <row r="150" spans="2:3" x14ac:dyDescent="0.25">
      <c r="B150" s="29"/>
      <c r="C150" s="30"/>
    </row>
    <row r="151" spans="2:3" x14ac:dyDescent="0.25">
      <c r="B151" s="29"/>
      <c r="C151" s="30"/>
    </row>
    <row r="152" spans="2:3" x14ac:dyDescent="0.25">
      <c r="B152" s="29"/>
      <c r="C152" s="30"/>
    </row>
    <row r="153" spans="2:3" x14ac:dyDescent="0.25">
      <c r="B153" s="29"/>
      <c r="C153" s="30"/>
    </row>
    <row r="154" spans="2:3" x14ac:dyDescent="0.25">
      <c r="B154" s="29"/>
      <c r="C154" s="30"/>
    </row>
    <row r="155" spans="2:3" x14ac:dyDescent="0.25">
      <c r="B155" s="29"/>
      <c r="C155" s="30"/>
    </row>
    <row r="156" spans="2:3" x14ac:dyDescent="0.25">
      <c r="B156" s="29"/>
      <c r="C156" s="30"/>
    </row>
    <row r="157" spans="2:3" x14ac:dyDescent="0.25">
      <c r="B157" s="29"/>
      <c r="C157" s="30"/>
    </row>
    <row r="158" spans="2:3" x14ac:dyDescent="0.25">
      <c r="B158" s="29"/>
      <c r="C158" s="30"/>
    </row>
    <row r="159" spans="2:3" x14ac:dyDescent="0.25">
      <c r="B159" s="29"/>
      <c r="C159" s="30"/>
    </row>
    <row r="160" spans="2:3" x14ac:dyDescent="0.25">
      <c r="B160" s="29"/>
      <c r="C160" s="30"/>
    </row>
    <row r="161" spans="2:3" x14ac:dyDescent="0.25">
      <c r="B161" s="29"/>
      <c r="C161" s="30"/>
    </row>
    <row r="162" spans="2:3" x14ac:dyDescent="0.25">
      <c r="B162" s="29"/>
      <c r="C162" s="30"/>
    </row>
    <row r="163" spans="2:3" x14ac:dyDescent="0.25">
      <c r="B163" s="29"/>
      <c r="C163" s="30"/>
    </row>
    <row r="164" spans="2:3" x14ac:dyDescent="0.25">
      <c r="B164" s="29"/>
      <c r="C164" s="30"/>
    </row>
    <row r="165" spans="2:3" x14ac:dyDescent="0.25">
      <c r="B165" s="29"/>
      <c r="C165" s="30"/>
    </row>
    <row r="166" spans="2:3" x14ac:dyDescent="0.25">
      <c r="B166" s="29"/>
      <c r="C166" s="30"/>
    </row>
    <row r="167" spans="2:3" x14ac:dyDescent="0.25">
      <c r="B167" s="29"/>
      <c r="C167" s="30"/>
    </row>
    <row r="168" spans="2:3" x14ac:dyDescent="0.25">
      <c r="B168" s="29"/>
      <c r="C168" s="30"/>
    </row>
    <row r="169" spans="2:3" x14ac:dyDescent="0.25">
      <c r="B169" s="29"/>
      <c r="C169" s="30"/>
    </row>
    <row r="170" spans="2:3" x14ac:dyDescent="0.25">
      <c r="B170" s="31"/>
      <c r="C170" s="32"/>
    </row>
  </sheetData>
  <mergeCells count="2">
    <mergeCell ref="L4:L5"/>
    <mergeCell ref="L7:L8"/>
  </mergeCells>
  <dataValidations xWindow="1039" yWindow="566" count="3">
    <dataValidation operator="greaterThan" allowBlank="1" showInputMessage="1" showErrorMessage="1" sqref="J7"/>
    <dataValidation type="list" showInputMessage="1" showErrorMessage="1" promptTitle="Order by" prompt="Please select whether you want the results to be ordered in ascending, descending (- sign) order or not at all (select None). " sqref="J10">
      <formula1>$R$3:$R$7</formula1>
    </dataValidation>
    <dataValidation allowBlank="1" showInputMessage="1" showErrorMessage="1" promptTitle="Channel selector" prompt="Enter the name of the channel you want to query data for. This can be found by logging into Loganis at http://ldash.loganis.com and selecting Channel &gt; List All from the drop-down menu on the top." sqref="J4"/>
  </dataValidations>
  <hyperlinks>
    <hyperlink ref="L14" r:id="rId1" display="https://ldash.loganis.com"/>
    <hyperlink ref="L27" r:id="rId2"/>
    <hyperlink ref="L2"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efresh_Click">
                <anchor moveWithCells="1" sizeWithCells="1">
                  <from>
                    <xdr:col>3</xdr:col>
                    <xdr:colOff>819150</xdr:colOff>
                    <xdr:row>2</xdr:row>
                    <xdr:rowOff>123825</xdr:rowOff>
                  </from>
                  <to>
                    <xdr:col>4</xdr:col>
                    <xdr:colOff>971550</xdr:colOff>
                    <xdr:row>9</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9" yWindow="566" count="2">
        <x14:dataValidation type="list" errorStyle="information" allowBlank="1" showInputMessage="1" showErrorMessage="1">
          <x14:formula1>
            <xm:f>Metadata!$A$3:$A$166</xm:f>
          </x14:formula1>
          <xm:sqref>J6</xm:sqref>
        </x14:dataValidation>
        <x14:dataValidation type="list" errorStyle="information" allowBlank="1" showErrorMessage="1">
          <x14:formula1>
            <xm:f>Metadata!$D$3:$D$149</xm:f>
          </x14:formula1>
          <xm:sqref>J5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33"/>
  <sheetViews>
    <sheetView showGridLines="0" zoomScale="87" zoomScaleNormal="85" workbookViewId="0">
      <selection activeCell="C11" sqref="C11"/>
    </sheetView>
  </sheetViews>
  <sheetFormatPr defaultRowHeight="15" x14ac:dyDescent="0.25"/>
  <cols>
    <col min="2" max="2" width="6.25" customWidth="1"/>
    <col min="3" max="3" width="59.875" customWidth="1"/>
    <col min="4" max="4" width="19.625" bestFit="1" customWidth="1"/>
    <col min="5" max="5" width="4.25" customWidth="1"/>
    <col min="6" max="11" width="21.125" customWidth="1"/>
    <col min="12" max="12" width="14.5" customWidth="1"/>
  </cols>
  <sheetData>
    <row r="1" spans="1:11" x14ac:dyDescent="0.25">
      <c r="H1" s="43" t="s">
        <v>528</v>
      </c>
    </row>
    <row r="2" spans="1:11" ht="15.75" thickBot="1" x14ac:dyDescent="0.3">
      <c r="D2" s="2"/>
    </row>
    <row r="3" spans="1:11" ht="30.75" thickBot="1" x14ac:dyDescent="0.3">
      <c r="A3" s="5"/>
      <c r="B3" s="22" t="s">
        <v>9</v>
      </c>
      <c r="C3" s="44" t="s">
        <v>633</v>
      </c>
      <c r="D3" s="2"/>
      <c r="F3" s="54" t="s">
        <v>123</v>
      </c>
      <c r="G3" s="55" t="s">
        <v>125</v>
      </c>
      <c r="H3" s="55" t="s">
        <v>628</v>
      </c>
      <c r="I3" s="55" t="s">
        <v>627</v>
      </c>
      <c r="J3" s="55"/>
      <c r="K3" s="56"/>
    </row>
    <row r="4" spans="1:11" ht="15" customHeight="1" x14ac:dyDescent="0.25">
      <c r="A4" s="5"/>
      <c r="D4" s="2"/>
      <c r="F4" s="46" t="s">
        <v>630</v>
      </c>
      <c r="G4" s="45" t="s">
        <v>622</v>
      </c>
      <c r="H4" s="45">
        <v>1654.6293060588291</v>
      </c>
      <c r="I4" s="6">
        <v>6627</v>
      </c>
      <c r="J4" s="6"/>
      <c r="K4" s="47"/>
    </row>
    <row r="5" spans="1:11" x14ac:dyDescent="0.25">
      <c r="A5" s="5"/>
      <c r="D5" s="2"/>
      <c r="F5" s="46" t="s">
        <v>631</v>
      </c>
      <c r="G5" s="45" t="s">
        <v>625</v>
      </c>
      <c r="H5" s="45">
        <v>450</v>
      </c>
      <c r="I5" s="6">
        <v>12</v>
      </c>
      <c r="J5" s="6"/>
      <c r="K5" s="47"/>
    </row>
    <row r="6" spans="1:11" x14ac:dyDescent="0.25">
      <c r="A6" s="5"/>
      <c r="C6" s="2"/>
      <c r="D6" s="2"/>
      <c r="F6" s="48" t="s">
        <v>631</v>
      </c>
      <c r="G6" s="49" t="s">
        <v>624</v>
      </c>
      <c r="H6" s="6">
        <v>1166.4285714285716</v>
      </c>
      <c r="I6" s="6">
        <v>76</v>
      </c>
      <c r="J6" s="6"/>
      <c r="K6" s="47"/>
    </row>
    <row r="7" spans="1:11" ht="15" customHeight="1" x14ac:dyDescent="0.25">
      <c r="A7" s="5"/>
      <c r="C7" s="2"/>
      <c r="D7" s="2"/>
      <c r="F7" s="48" t="s">
        <v>631</v>
      </c>
      <c r="G7" s="49" t="s">
        <v>622</v>
      </c>
      <c r="H7" s="49">
        <v>1252.3368407993739</v>
      </c>
      <c r="I7" s="6">
        <v>20661</v>
      </c>
      <c r="J7" s="6"/>
      <c r="K7" s="47"/>
    </row>
    <row r="8" spans="1:11" x14ac:dyDescent="0.25">
      <c r="A8" s="5"/>
      <c r="C8" s="2"/>
      <c r="D8" s="2"/>
      <c r="F8" s="46" t="s">
        <v>631</v>
      </c>
      <c r="G8" s="45" t="s">
        <v>623</v>
      </c>
      <c r="H8" s="45">
        <v>2123.9887840311289</v>
      </c>
      <c r="I8" s="6">
        <v>601</v>
      </c>
      <c r="J8" s="6"/>
      <c r="K8" s="47"/>
    </row>
    <row r="9" spans="1:11" x14ac:dyDescent="0.25">
      <c r="A9" s="5"/>
      <c r="C9" s="2"/>
      <c r="D9" s="2"/>
      <c r="F9" s="48" t="s">
        <v>629</v>
      </c>
      <c r="G9" s="49" t="s">
        <v>632</v>
      </c>
      <c r="H9" s="6">
        <v>100</v>
      </c>
      <c r="I9" s="6">
        <v>2</v>
      </c>
      <c r="J9" s="6"/>
      <c r="K9" s="47"/>
    </row>
    <row r="10" spans="1:11" x14ac:dyDescent="0.25">
      <c r="A10" s="5"/>
      <c r="C10" s="2"/>
      <c r="D10" s="2"/>
      <c r="F10" s="48" t="s">
        <v>630</v>
      </c>
      <c r="G10" s="49" t="s">
        <v>625</v>
      </c>
      <c r="H10" s="6">
        <v>533.33333333333326</v>
      </c>
      <c r="I10" s="6">
        <v>15</v>
      </c>
      <c r="J10" s="6"/>
      <c r="K10" s="47"/>
    </row>
    <row r="11" spans="1:11" x14ac:dyDescent="0.25">
      <c r="A11" s="5"/>
      <c r="C11" s="2"/>
      <c r="D11" s="2"/>
      <c r="F11" s="46" t="s">
        <v>629</v>
      </c>
      <c r="G11" s="45" t="s">
        <v>623</v>
      </c>
      <c r="H11" s="45">
        <v>550</v>
      </c>
      <c r="I11" s="6">
        <v>15</v>
      </c>
      <c r="J11" s="6"/>
      <c r="K11" s="47"/>
    </row>
    <row r="12" spans="1:11" x14ac:dyDescent="0.25">
      <c r="A12" s="5"/>
      <c r="C12" s="2"/>
      <c r="D12" s="2"/>
      <c r="F12" s="48" t="s">
        <v>630</v>
      </c>
      <c r="G12" s="49" t="s">
        <v>632</v>
      </c>
      <c r="H12" s="6">
        <v>1684.4150212532568</v>
      </c>
      <c r="I12" s="6">
        <v>302</v>
      </c>
      <c r="J12" s="6"/>
      <c r="K12" s="47"/>
    </row>
    <row r="13" spans="1:11" ht="15" customHeight="1" x14ac:dyDescent="0.25">
      <c r="A13" s="5"/>
      <c r="C13" s="2"/>
      <c r="D13" s="2"/>
      <c r="F13" s="48" t="s">
        <v>631</v>
      </c>
      <c r="G13" s="49" t="s">
        <v>632</v>
      </c>
      <c r="H13" s="6">
        <v>750</v>
      </c>
      <c r="I13" s="6">
        <v>13</v>
      </c>
      <c r="J13" s="6"/>
      <c r="K13" s="47"/>
    </row>
    <row r="14" spans="1:11" ht="15" customHeight="1" x14ac:dyDescent="0.25">
      <c r="A14" s="5"/>
      <c r="C14" s="2"/>
      <c r="D14" s="2"/>
      <c r="F14" s="50" t="s">
        <v>629</v>
      </c>
      <c r="G14" s="6" t="s">
        <v>625</v>
      </c>
      <c r="H14" s="6">
        <v>150</v>
      </c>
      <c r="I14" s="6">
        <v>3</v>
      </c>
      <c r="J14" s="6"/>
      <c r="K14" s="47"/>
    </row>
    <row r="15" spans="1:11" x14ac:dyDescent="0.25">
      <c r="A15" s="5"/>
      <c r="C15" s="2"/>
      <c r="D15" s="2"/>
      <c r="F15" s="50" t="s">
        <v>629</v>
      </c>
      <c r="G15" s="6" t="s">
        <v>624</v>
      </c>
      <c r="H15" s="6">
        <v>200</v>
      </c>
      <c r="I15" s="6">
        <v>7</v>
      </c>
      <c r="J15" s="6"/>
      <c r="K15" s="47"/>
    </row>
    <row r="16" spans="1:11" x14ac:dyDescent="0.25">
      <c r="A16" s="5"/>
      <c r="C16" s="2"/>
      <c r="D16" s="2"/>
      <c r="F16" s="50" t="s">
        <v>631</v>
      </c>
      <c r="G16" s="6" t="s">
        <v>626</v>
      </c>
      <c r="H16" s="6">
        <v>250</v>
      </c>
      <c r="I16" s="6">
        <v>13</v>
      </c>
      <c r="J16" s="6"/>
      <c r="K16" s="47"/>
    </row>
    <row r="17" spans="1:11" x14ac:dyDescent="0.25">
      <c r="A17" s="5"/>
      <c r="C17" s="2"/>
      <c r="D17" s="2"/>
      <c r="F17" s="50" t="s">
        <v>629</v>
      </c>
      <c r="G17" s="6" t="s">
        <v>622</v>
      </c>
      <c r="H17" s="6">
        <v>1432.2990898675662</v>
      </c>
      <c r="I17" s="6">
        <v>1798</v>
      </c>
      <c r="J17" s="6"/>
      <c r="K17" s="47"/>
    </row>
    <row r="18" spans="1:11" x14ac:dyDescent="0.25">
      <c r="A18" s="5"/>
      <c r="C18" s="2"/>
      <c r="D18" s="2"/>
      <c r="F18" s="50" t="s">
        <v>629</v>
      </c>
      <c r="G18" s="6" t="s">
        <v>626</v>
      </c>
      <c r="H18" s="6">
        <v>250</v>
      </c>
      <c r="I18" s="6">
        <v>4</v>
      </c>
      <c r="J18" s="6"/>
      <c r="K18" s="47"/>
    </row>
    <row r="19" spans="1:11" x14ac:dyDescent="0.25">
      <c r="A19" s="5"/>
      <c r="C19" s="2"/>
      <c r="D19" s="2"/>
      <c r="F19" s="50" t="s">
        <v>630</v>
      </c>
      <c r="G19" s="6" t="s">
        <v>623</v>
      </c>
      <c r="H19" s="6">
        <v>1446.4285714285713</v>
      </c>
      <c r="I19" s="6">
        <v>81</v>
      </c>
      <c r="J19" s="6"/>
      <c r="K19" s="47"/>
    </row>
    <row r="20" spans="1:11" x14ac:dyDescent="0.25">
      <c r="A20" s="5"/>
      <c r="C20" s="2"/>
      <c r="D20" s="2"/>
      <c r="F20" s="50" t="s">
        <v>630</v>
      </c>
      <c r="G20" s="6" t="s">
        <v>626</v>
      </c>
      <c r="H20" s="6">
        <v>200</v>
      </c>
      <c r="I20" s="6">
        <v>3</v>
      </c>
      <c r="J20" s="6"/>
      <c r="K20" s="47"/>
    </row>
    <row r="21" spans="1:11" x14ac:dyDescent="0.25">
      <c r="A21" s="5"/>
      <c r="C21" s="2"/>
      <c r="D21" s="2"/>
      <c r="F21" s="50" t="s">
        <v>630</v>
      </c>
      <c r="G21" s="6" t="s">
        <v>624</v>
      </c>
      <c r="H21" s="6">
        <v>966.66666666666663</v>
      </c>
      <c r="I21" s="6">
        <v>16</v>
      </c>
      <c r="J21" s="6"/>
      <c r="K21" s="47"/>
    </row>
    <row r="22" spans="1:11" x14ac:dyDescent="0.25">
      <c r="A22" s="5"/>
      <c r="C22" s="2"/>
      <c r="D22" s="2"/>
      <c r="F22" s="50"/>
      <c r="G22" s="6"/>
      <c r="H22" s="6"/>
      <c r="I22" s="6"/>
      <c r="J22" s="6"/>
      <c r="K22" s="47"/>
    </row>
    <row r="23" spans="1:11" x14ac:dyDescent="0.25">
      <c r="A23" s="5"/>
      <c r="C23" s="2"/>
      <c r="D23" s="2"/>
      <c r="F23" s="50"/>
      <c r="G23" s="6"/>
      <c r="H23" s="6"/>
      <c r="I23" s="6"/>
      <c r="J23" s="6"/>
      <c r="K23" s="47"/>
    </row>
    <row r="24" spans="1:11" x14ac:dyDescent="0.25">
      <c r="A24" s="5"/>
      <c r="C24" s="2"/>
      <c r="D24" s="2"/>
      <c r="F24" s="50"/>
      <c r="G24" s="6"/>
      <c r="H24" s="6"/>
      <c r="I24" s="6"/>
      <c r="J24" s="6"/>
      <c r="K24" s="47"/>
    </row>
    <row r="25" spans="1:11" x14ac:dyDescent="0.25">
      <c r="A25" s="5"/>
      <c r="F25" s="50"/>
      <c r="G25" s="6"/>
      <c r="H25" s="6"/>
      <c r="I25" s="6"/>
      <c r="J25" s="6"/>
      <c r="K25" s="47"/>
    </row>
    <row r="26" spans="1:11" x14ac:dyDescent="0.25">
      <c r="A26" s="5"/>
      <c r="B26" s="34" t="s">
        <v>525</v>
      </c>
      <c r="C26" s="34"/>
      <c r="D26" s="34" t="s">
        <v>526</v>
      </c>
      <c r="F26" s="50"/>
      <c r="G26" s="6"/>
      <c r="H26" s="6"/>
      <c r="I26" s="6"/>
      <c r="J26" s="6"/>
      <c r="K26" s="47"/>
    </row>
    <row r="27" spans="1:11" x14ac:dyDescent="0.25">
      <c r="A27" s="5"/>
      <c r="C27" s="2"/>
      <c r="D27" s="2"/>
      <c r="F27" s="50"/>
      <c r="G27" s="6"/>
      <c r="H27" s="6"/>
      <c r="I27" s="6"/>
      <c r="J27" s="6"/>
      <c r="K27" s="47"/>
    </row>
    <row r="28" spans="1:11" x14ac:dyDescent="0.25">
      <c r="A28" s="5"/>
      <c r="C28" s="2"/>
      <c r="D28" s="2"/>
      <c r="F28" s="50"/>
      <c r="G28" s="6"/>
      <c r="H28" s="6"/>
      <c r="I28" s="6"/>
      <c r="J28" s="6"/>
      <c r="K28" s="47"/>
    </row>
    <row r="29" spans="1:11" x14ac:dyDescent="0.25">
      <c r="A29" s="5"/>
      <c r="C29" s="2"/>
      <c r="D29" s="2"/>
      <c r="F29" s="50"/>
      <c r="G29" s="6"/>
      <c r="H29" s="6"/>
      <c r="I29" s="6"/>
      <c r="J29" s="6"/>
      <c r="K29" s="47"/>
    </row>
    <row r="30" spans="1:11" x14ac:dyDescent="0.25">
      <c r="A30" s="5"/>
      <c r="C30" s="2"/>
      <c r="D30" s="2"/>
      <c r="F30" s="50"/>
      <c r="G30" s="6"/>
      <c r="H30" s="6"/>
      <c r="I30" s="6"/>
      <c r="J30" s="6"/>
      <c r="K30" s="47"/>
    </row>
    <row r="31" spans="1:11" x14ac:dyDescent="0.25">
      <c r="A31" s="5"/>
      <c r="C31" s="2"/>
      <c r="D31" s="2"/>
      <c r="F31" s="50"/>
      <c r="G31" s="6"/>
      <c r="H31" s="6"/>
      <c r="I31" s="6"/>
      <c r="J31" s="6"/>
      <c r="K31" s="47"/>
    </row>
    <row r="32" spans="1:11" x14ac:dyDescent="0.25">
      <c r="A32" s="5"/>
      <c r="C32" s="2"/>
      <c r="D32" s="2"/>
      <c r="F32" s="50"/>
      <c r="G32" s="6"/>
      <c r="H32" s="6"/>
      <c r="I32" s="6"/>
      <c r="J32" s="6"/>
      <c r="K32" s="47"/>
    </row>
    <row r="33" spans="3:11" x14ac:dyDescent="0.25">
      <c r="C33" s="2"/>
      <c r="D33" s="2"/>
      <c r="F33" s="50"/>
      <c r="G33" s="6"/>
      <c r="H33" s="6"/>
      <c r="I33" s="6"/>
      <c r="J33" s="6"/>
      <c r="K33" s="47"/>
    </row>
    <row r="34" spans="3:11" x14ac:dyDescent="0.25">
      <c r="C34" s="2"/>
      <c r="D34" s="2"/>
      <c r="F34" s="50"/>
      <c r="G34" s="6"/>
      <c r="H34" s="6"/>
      <c r="I34" s="6"/>
      <c r="J34" s="6"/>
      <c r="K34" s="47"/>
    </row>
    <row r="35" spans="3:11" x14ac:dyDescent="0.25">
      <c r="C35" s="2"/>
      <c r="D35" s="2"/>
      <c r="F35" s="50"/>
      <c r="G35" s="6"/>
      <c r="H35" s="6"/>
      <c r="I35" s="6"/>
      <c r="J35" s="6"/>
      <c r="K35" s="47"/>
    </row>
    <row r="36" spans="3:11" x14ac:dyDescent="0.25">
      <c r="C36" s="2"/>
      <c r="D36" s="2"/>
      <c r="F36" s="50"/>
      <c r="G36" s="6"/>
      <c r="H36" s="6"/>
      <c r="I36" s="6"/>
      <c r="J36" s="6"/>
      <c r="K36" s="47"/>
    </row>
    <row r="37" spans="3:11" x14ac:dyDescent="0.25">
      <c r="C37" s="2"/>
      <c r="D37" s="2"/>
      <c r="F37" s="50"/>
      <c r="G37" s="6"/>
      <c r="H37" s="6"/>
      <c r="I37" s="6"/>
      <c r="J37" s="6"/>
      <c r="K37" s="47"/>
    </row>
    <row r="38" spans="3:11" x14ac:dyDescent="0.25">
      <c r="C38" s="2"/>
      <c r="D38" s="2"/>
      <c r="F38" s="50"/>
      <c r="G38" s="6"/>
      <c r="H38" s="6"/>
      <c r="I38" s="6"/>
      <c r="J38" s="6"/>
      <c r="K38" s="47"/>
    </row>
    <row r="39" spans="3:11" x14ac:dyDescent="0.25">
      <c r="C39" s="2"/>
      <c r="D39" s="2"/>
      <c r="F39" s="50"/>
      <c r="G39" s="6"/>
      <c r="H39" s="6"/>
      <c r="I39" s="6"/>
      <c r="J39" s="6"/>
      <c r="K39" s="47"/>
    </row>
    <row r="40" spans="3:11" x14ac:dyDescent="0.25">
      <c r="C40" s="2"/>
      <c r="D40" s="2"/>
      <c r="F40" s="50"/>
      <c r="G40" s="6"/>
      <c r="H40" s="6"/>
      <c r="I40" s="6"/>
      <c r="J40" s="6"/>
      <c r="K40" s="47"/>
    </row>
    <row r="41" spans="3:11" x14ac:dyDescent="0.25">
      <c r="C41" s="2"/>
      <c r="D41" s="2"/>
      <c r="F41" s="50"/>
      <c r="G41" s="6"/>
      <c r="H41" s="6"/>
      <c r="I41" s="6"/>
      <c r="J41" s="6"/>
      <c r="K41" s="47"/>
    </row>
    <row r="42" spans="3:11" x14ac:dyDescent="0.25">
      <c r="C42" s="2"/>
      <c r="D42" s="2"/>
      <c r="F42" s="50"/>
      <c r="G42" s="6"/>
      <c r="H42" s="6"/>
      <c r="I42" s="6"/>
      <c r="J42" s="6"/>
      <c r="K42" s="47"/>
    </row>
    <row r="43" spans="3:11" x14ac:dyDescent="0.25">
      <c r="C43" s="2"/>
      <c r="D43" s="2"/>
      <c r="F43" s="50"/>
      <c r="G43" s="6"/>
      <c r="H43" s="6"/>
      <c r="I43" s="6"/>
      <c r="J43" s="6"/>
      <c r="K43" s="47"/>
    </row>
    <row r="44" spans="3:11" x14ac:dyDescent="0.25">
      <c r="C44" s="2"/>
      <c r="D44" s="2"/>
      <c r="F44" s="50"/>
      <c r="G44" s="6"/>
      <c r="H44" s="6"/>
      <c r="I44" s="6"/>
      <c r="J44" s="6"/>
      <c r="K44" s="47"/>
    </row>
    <row r="45" spans="3:11" x14ac:dyDescent="0.25">
      <c r="C45" s="2"/>
      <c r="D45" s="2"/>
      <c r="F45" s="50"/>
      <c r="G45" s="6"/>
      <c r="H45" s="6"/>
      <c r="I45" s="6"/>
      <c r="J45" s="6"/>
      <c r="K45" s="47"/>
    </row>
    <row r="46" spans="3:11" x14ac:dyDescent="0.25">
      <c r="C46" s="2"/>
      <c r="D46" s="2"/>
      <c r="F46" s="50"/>
      <c r="G46" s="6"/>
      <c r="H46" s="6"/>
      <c r="I46" s="6"/>
      <c r="J46" s="6"/>
      <c r="K46" s="47"/>
    </row>
    <row r="47" spans="3:11" x14ac:dyDescent="0.25">
      <c r="C47" s="2"/>
      <c r="D47" s="2"/>
      <c r="F47" s="50"/>
      <c r="G47" s="6"/>
      <c r="H47" s="6"/>
      <c r="I47" s="6"/>
      <c r="J47" s="6"/>
      <c r="K47" s="47"/>
    </row>
    <row r="48" spans="3:11" x14ac:dyDescent="0.25">
      <c r="C48" s="2"/>
      <c r="D48" s="2"/>
      <c r="F48" s="50"/>
      <c r="G48" s="6"/>
      <c r="H48" s="6"/>
      <c r="I48" s="6"/>
      <c r="J48" s="6"/>
      <c r="K48" s="47"/>
    </row>
    <row r="49" spans="3:11" x14ac:dyDescent="0.25">
      <c r="C49" s="2"/>
      <c r="D49" s="2"/>
      <c r="F49" s="50"/>
      <c r="G49" s="6"/>
      <c r="H49" s="6"/>
      <c r="I49" s="6"/>
      <c r="J49" s="6"/>
      <c r="K49" s="47"/>
    </row>
    <row r="50" spans="3:11" x14ac:dyDescent="0.25">
      <c r="C50" s="2"/>
      <c r="D50" s="2"/>
      <c r="F50" s="50"/>
      <c r="G50" s="6"/>
      <c r="H50" s="6"/>
      <c r="I50" s="6"/>
      <c r="J50" s="6"/>
      <c r="K50" s="47"/>
    </row>
    <row r="51" spans="3:11" x14ac:dyDescent="0.25">
      <c r="C51" s="2"/>
      <c r="D51" s="2"/>
      <c r="F51" s="50"/>
      <c r="G51" s="6"/>
      <c r="H51" s="6"/>
      <c r="I51" s="6"/>
      <c r="J51" s="6"/>
      <c r="K51" s="47"/>
    </row>
    <row r="52" spans="3:11" x14ac:dyDescent="0.25">
      <c r="C52" s="2"/>
      <c r="D52" s="2"/>
      <c r="F52" s="50"/>
      <c r="G52" s="6"/>
      <c r="H52" s="6"/>
      <c r="I52" s="6"/>
      <c r="J52" s="6"/>
      <c r="K52" s="47"/>
    </row>
    <row r="53" spans="3:11" x14ac:dyDescent="0.25">
      <c r="C53" s="2"/>
      <c r="D53" s="2"/>
      <c r="F53" s="50"/>
      <c r="G53" s="6"/>
      <c r="H53" s="6"/>
      <c r="I53" s="6"/>
      <c r="J53" s="6"/>
      <c r="K53" s="47"/>
    </row>
    <row r="54" spans="3:11" x14ac:dyDescent="0.25">
      <c r="C54" s="2"/>
      <c r="D54" s="2"/>
      <c r="F54" s="50"/>
      <c r="G54" s="6"/>
      <c r="H54" s="6"/>
      <c r="I54" s="6"/>
      <c r="J54" s="6"/>
      <c r="K54" s="47"/>
    </row>
    <row r="55" spans="3:11" x14ac:dyDescent="0.25">
      <c r="C55" s="2"/>
      <c r="D55" s="2"/>
      <c r="F55" s="50"/>
      <c r="G55" s="6"/>
      <c r="H55" s="6"/>
      <c r="I55" s="6"/>
      <c r="J55" s="6"/>
      <c r="K55" s="47"/>
    </row>
    <row r="56" spans="3:11" x14ac:dyDescent="0.25">
      <c r="C56" s="2"/>
      <c r="D56" s="2"/>
      <c r="F56" s="50"/>
      <c r="G56" s="6"/>
      <c r="H56" s="6"/>
      <c r="I56" s="6"/>
      <c r="J56" s="6"/>
      <c r="K56" s="47"/>
    </row>
    <row r="57" spans="3:11" x14ac:dyDescent="0.25">
      <c r="C57" s="2"/>
      <c r="D57" s="2"/>
      <c r="F57" s="50"/>
      <c r="G57" s="6"/>
      <c r="H57" s="6"/>
      <c r="I57" s="6"/>
      <c r="J57" s="6"/>
      <c r="K57" s="47"/>
    </row>
    <row r="58" spans="3:11" x14ac:dyDescent="0.25">
      <c r="C58" s="2"/>
      <c r="D58" s="2"/>
      <c r="F58" s="50"/>
      <c r="G58" s="6"/>
      <c r="H58" s="6"/>
      <c r="I58" s="6"/>
      <c r="J58" s="6"/>
      <c r="K58" s="47"/>
    </row>
    <row r="59" spans="3:11" x14ac:dyDescent="0.25">
      <c r="C59" s="2"/>
      <c r="D59" s="2"/>
      <c r="F59" s="50"/>
      <c r="G59" s="6"/>
      <c r="H59" s="6"/>
      <c r="I59" s="6"/>
      <c r="J59" s="6"/>
      <c r="K59" s="47"/>
    </row>
    <row r="60" spans="3:11" x14ac:dyDescent="0.25">
      <c r="C60" s="2"/>
      <c r="D60" s="2"/>
      <c r="F60" s="50"/>
      <c r="G60" s="6"/>
      <c r="H60" s="6"/>
      <c r="I60" s="6"/>
      <c r="J60" s="6"/>
      <c r="K60" s="47"/>
    </row>
    <row r="61" spans="3:11" x14ac:dyDescent="0.25">
      <c r="C61" s="2"/>
      <c r="D61" s="2"/>
      <c r="F61" s="50"/>
      <c r="G61" s="6"/>
      <c r="H61" s="6"/>
      <c r="I61" s="6"/>
      <c r="J61" s="6"/>
      <c r="K61" s="47"/>
    </row>
    <row r="62" spans="3:11" x14ac:dyDescent="0.25">
      <c r="C62" s="2"/>
      <c r="D62" s="2"/>
      <c r="F62" s="50"/>
      <c r="G62" s="6"/>
      <c r="H62" s="6"/>
      <c r="I62" s="6"/>
      <c r="J62" s="6"/>
      <c r="K62" s="47"/>
    </row>
    <row r="63" spans="3:11" x14ac:dyDescent="0.25">
      <c r="C63" s="2"/>
      <c r="D63" s="2"/>
      <c r="F63" s="50"/>
      <c r="G63" s="6"/>
      <c r="H63" s="6"/>
      <c r="I63" s="6"/>
      <c r="J63" s="6"/>
      <c r="K63" s="47"/>
    </row>
    <row r="64" spans="3:11" x14ac:dyDescent="0.25">
      <c r="C64" s="2"/>
      <c r="D64" s="2"/>
      <c r="F64" s="50"/>
      <c r="G64" s="6"/>
      <c r="H64" s="6"/>
      <c r="I64" s="6"/>
      <c r="J64" s="6"/>
      <c r="K64" s="47"/>
    </row>
    <row r="65" spans="3:11" x14ac:dyDescent="0.25">
      <c r="C65" s="2"/>
      <c r="D65" s="2"/>
      <c r="F65" s="50"/>
      <c r="G65" s="6"/>
      <c r="H65" s="6"/>
      <c r="I65" s="6"/>
      <c r="J65" s="6"/>
      <c r="K65" s="47"/>
    </row>
    <row r="66" spans="3:11" x14ac:dyDescent="0.25">
      <c r="C66" s="2"/>
      <c r="D66" s="2"/>
      <c r="F66" s="50"/>
      <c r="G66" s="6"/>
      <c r="H66" s="6"/>
      <c r="I66" s="6"/>
      <c r="J66" s="6"/>
      <c r="K66" s="47"/>
    </row>
    <row r="67" spans="3:11" x14ac:dyDescent="0.25">
      <c r="C67" s="2"/>
      <c r="D67" s="2"/>
      <c r="F67" s="50"/>
      <c r="G67" s="6"/>
      <c r="H67" s="6"/>
      <c r="I67" s="6"/>
      <c r="J67" s="6"/>
      <c r="K67" s="47"/>
    </row>
    <row r="68" spans="3:11" x14ac:dyDescent="0.25">
      <c r="C68" s="2"/>
      <c r="D68" s="2"/>
      <c r="F68" s="50"/>
      <c r="G68" s="6"/>
      <c r="H68" s="6"/>
      <c r="I68" s="6"/>
      <c r="J68" s="6"/>
      <c r="K68" s="47"/>
    </row>
    <row r="69" spans="3:11" x14ac:dyDescent="0.25">
      <c r="C69" s="2"/>
      <c r="D69" s="2"/>
      <c r="F69" s="50"/>
      <c r="G69" s="6"/>
      <c r="H69" s="6"/>
      <c r="I69" s="6"/>
      <c r="J69" s="6"/>
      <c r="K69" s="47"/>
    </row>
    <row r="70" spans="3:11" x14ac:dyDescent="0.25">
      <c r="C70" s="2"/>
      <c r="D70" s="2"/>
      <c r="F70" s="50"/>
      <c r="G70" s="6"/>
      <c r="H70" s="6"/>
      <c r="I70" s="6"/>
      <c r="J70" s="6"/>
      <c r="K70" s="47"/>
    </row>
    <row r="71" spans="3:11" x14ac:dyDescent="0.25">
      <c r="F71" s="50"/>
      <c r="G71" s="6"/>
      <c r="H71" s="6"/>
      <c r="I71" s="6"/>
      <c r="J71" s="6"/>
      <c r="K71" s="47"/>
    </row>
    <row r="72" spans="3:11" x14ac:dyDescent="0.25">
      <c r="F72" s="50"/>
      <c r="G72" s="6"/>
      <c r="H72" s="6"/>
      <c r="I72" s="6"/>
      <c r="J72" s="6"/>
      <c r="K72" s="47"/>
    </row>
    <row r="73" spans="3:11" x14ac:dyDescent="0.25">
      <c r="F73" s="50"/>
      <c r="G73" s="6"/>
      <c r="H73" s="6"/>
      <c r="I73" s="6"/>
      <c r="J73" s="6"/>
      <c r="K73" s="47"/>
    </row>
    <row r="74" spans="3:11" x14ac:dyDescent="0.25">
      <c r="F74" s="50"/>
      <c r="G74" s="6"/>
      <c r="H74" s="6"/>
      <c r="I74" s="6"/>
      <c r="J74" s="6"/>
      <c r="K74" s="47"/>
    </row>
    <row r="75" spans="3:11" x14ac:dyDescent="0.25">
      <c r="F75" s="50"/>
      <c r="G75" s="6"/>
      <c r="H75" s="6"/>
      <c r="I75" s="6"/>
      <c r="J75" s="6"/>
      <c r="K75" s="47"/>
    </row>
    <row r="76" spans="3:11" x14ac:dyDescent="0.25">
      <c r="F76" s="50"/>
      <c r="G76" s="6"/>
      <c r="H76" s="6"/>
      <c r="I76" s="6"/>
      <c r="J76" s="6"/>
      <c r="K76" s="47"/>
    </row>
    <row r="77" spans="3:11" x14ac:dyDescent="0.25">
      <c r="F77" s="50"/>
      <c r="G77" s="6"/>
      <c r="H77" s="6"/>
      <c r="I77" s="6"/>
      <c r="J77" s="6"/>
      <c r="K77" s="47"/>
    </row>
    <row r="78" spans="3:11" x14ac:dyDescent="0.25">
      <c r="F78" s="50"/>
      <c r="G78" s="6"/>
      <c r="H78" s="6"/>
      <c r="I78" s="6"/>
      <c r="J78" s="6"/>
      <c r="K78" s="47"/>
    </row>
    <row r="79" spans="3:11" x14ac:dyDescent="0.25">
      <c r="F79" s="50"/>
      <c r="G79" s="6"/>
      <c r="H79" s="6"/>
      <c r="I79" s="6"/>
      <c r="J79" s="6"/>
      <c r="K79" s="47"/>
    </row>
    <row r="80" spans="3:11" x14ac:dyDescent="0.25">
      <c r="F80" s="50"/>
      <c r="G80" s="6"/>
      <c r="H80" s="6"/>
      <c r="I80" s="6"/>
      <c r="J80" s="6"/>
      <c r="K80" s="47"/>
    </row>
    <row r="81" spans="6:11" x14ac:dyDescent="0.25">
      <c r="F81" s="50"/>
      <c r="G81" s="6"/>
      <c r="H81" s="6"/>
      <c r="I81" s="6"/>
      <c r="J81" s="6"/>
      <c r="K81" s="47"/>
    </row>
    <row r="82" spans="6:11" x14ac:dyDescent="0.25">
      <c r="F82" s="50"/>
      <c r="G82" s="6"/>
      <c r="H82" s="6"/>
      <c r="I82" s="6"/>
      <c r="J82" s="6"/>
      <c r="K82" s="47"/>
    </row>
    <row r="83" spans="6:11" x14ac:dyDescent="0.25">
      <c r="F83" s="50"/>
      <c r="G83" s="6"/>
      <c r="H83" s="6"/>
      <c r="I83" s="6"/>
      <c r="J83" s="6"/>
      <c r="K83" s="47"/>
    </row>
    <row r="84" spans="6:11" x14ac:dyDescent="0.25">
      <c r="F84" s="50"/>
      <c r="G84" s="6"/>
      <c r="H84" s="6"/>
      <c r="I84" s="6"/>
      <c r="J84" s="6"/>
      <c r="K84" s="47"/>
    </row>
    <row r="85" spans="6:11" x14ac:dyDescent="0.25">
      <c r="F85" s="50"/>
      <c r="G85" s="6"/>
      <c r="H85" s="6"/>
      <c r="I85" s="6"/>
      <c r="J85" s="6"/>
      <c r="K85" s="47"/>
    </row>
    <row r="86" spans="6:11" x14ac:dyDescent="0.25">
      <c r="F86" s="50"/>
      <c r="G86" s="6"/>
      <c r="H86" s="6"/>
      <c r="I86" s="6"/>
      <c r="J86" s="6"/>
      <c r="K86" s="47"/>
    </row>
    <row r="87" spans="6:11" x14ac:dyDescent="0.25">
      <c r="F87" s="50"/>
      <c r="G87" s="6"/>
      <c r="H87" s="6"/>
      <c r="I87" s="6"/>
      <c r="J87" s="6"/>
      <c r="K87" s="47"/>
    </row>
    <row r="88" spans="6:11" x14ac:dyDescent="0.25">
      <c r="F88" s="50"/>
      <c r="G88" s="6"/>
      <c r="H88" s="6"/>
      <c r="I88" s="6"/>
      <c r="J88" s="6"/>
      <c r="K88" s="47"/>
    </row>
    <row r="89" spans="6:11" x14ac:dyDescent="0.25">
      <c r="F89" s="50"/>
      <c r="G89" s="6"/>
      <c r="H89" s="6"/>
      <c r="I89" s="6"/>
      <c r="J89" s="6"/>
      <c r="K89" s="47"/>
    </row>
    <row r="90" spans="6:11" x14ac:dyDescent="0.25">
      <c r="F90" s="50"/>
      <c r="G90" s="6"/>
      <c r="H90" s="6"/>
      <c r="I90" s="6"/>
      <c r="J90" s="6"/>
      <c r="K90" s="47"/>
    </row>
    <row r="91" spans="6:11" x14ac:dyDescent="0.25">
      <c r="F91" s="50"/>
      <c r="G91" s="6"/>
      <c r="H91" s="6"/>
      <c r="I91" s="6"/>
      <c r="J91" s="6"/>
      <c r="K91" s="47"/>
    </row>
    <row r="92" spans="6:11" x14ac:dyDescent="0.25">
      <c r="F92" s="50"/>
      <c r="G92" s="6"/>
      <c r="H92" s="6"/>
      <c r="I92" s="6"/>
      <c r="J92" s="6"/>
      <c r="K92" s="47"/>
    </row>
    <row r="93" spans="6:11" x14ac:dyDescent="0.25">
      <c r="F93" s="50"/>
      <c r="G93" s="6"/>
      <c r="H93" s="6"/>
      <c r="I93" s="6"/>
      <c r="J93" s="6"/>
      <c r="K93" s="47"/>
    </row>
    <row r="94" spans="6:11" x14ac:dyDescent="0.25">
      <c r="F94" s="50"/>
      <c r="G94" s="6"/>
      <c r="H94" s="6"/>
      <c r="I94" s="6"/>
      <c r="J94" s="6"/>
      <c r="K94" s="47"/>
    </row>
    <row r="95" spans="6:11" x14ac:dyDescent="0.25">
      <c r="F95" s="50"/>
      <c r="G95" s="6"/>
      <c r="H95" s="6"/>
      <c r="I95" s="6"/>
      <c r="J95" s="6"/>
      <c r="K95" s="47"/>
    </row>
    <row r="96" spans="6:11" x14ac:dyDescent="0.25">
      <c r="F96" s="50"/>
      <c r="G96" s="6"/>
      <c r="H96" s="6"/>
      <c r="I96" s="6"/>
      <c r="J96" s="6"/>
      <c r="K96" s="47"/>
    </row>
    <row r="97" spans="6:11" x14ac:dyDescent="0.25">
      <c r="F97" s="50"/>
      <c r="G97" s="6"/>
      <c r="H97" s="6"/>
      <c r="I97" s="6"/>
      <c r="J97" s="6"/>
      <c r="K97" s="47"/>
    </row>
    <row r="98" spans="6:11" x14ac:dyDescent="0.25">
      <c r="F98" s="50"/>
      <c r="G98" s="6"/>
      <c r="H98" s="6"/>
      <c r="I98" s="6"/>
      <c r="J98" s="6"/>
      <c r="K98" s="47"/>
    </row>
    <row r="99" spans="6:11" x14ac:dyDescent="0.25">
      <c r="F99" s="50"/>
      <c r="G99" s="6"/>
      <c r="H99" s="6"/>
      <c r="I99" s="6"/>
      <c r="J99" s="6"/>
      <c r="K99" s="47"/>
    </row>
    <row r="100" spans="6:11" x14ac:dyDescent="0.25">
      <c r="F100" s="50"/>
      <c r="G100" s="6"/>
      <c r="H100" s="6"/>
      <c r="I100" s="6"/>
      <c r="J100" s="6"/>
      <c r="K100" s="47"/>
    </row>
    <row r="101" spans="6:11" x14ac:dyDescent="0.25">
      <c r="F101" s="50"/>
      <c r="G101" s="6"/>
      <c r="H101" s="6"/>
      <c r="I101" s="6"/>
      <c r="J101" s="6"/>
      <c r="K101" s="47"/>
    </row>
    <row r="102" spans="6:11" x14ac:dyDescent="0.25">
      <c r="F102" s="50"/>
      <c r="G102" s="6"/>
      <c r="H102" s="6"/>
      <c r="I102" s="6"/>
      <c r="J102" s="6"/>
      <c r="K102" s="47"/>
    </row>
    <row r="103" spans="6:11" x14ac:dyDescent="0.25">
      <c r="F103" s="50"/>
      <c r="G103" s="6"/>
      <c r="H103" s="6"/>
      <c r="I103" s="6"/>
      <c r="J103" s="6"/>
      <c r="K103" s="47"/>
    </row>
    <row r="104" spans="6:11" x14ac:dyDescent="0.25">
      <c r="F104" s="50"/>
      <c r="G104" s="6"/>
      <c r="H104" s="6"/>
      <c r="I104" s="6"/>
      <c r="J104" s="6"/>
      <c r="K104" s="47"/>
    </row>
    <row r="105" spans="6:11" x14ac:dyDescent="0.25">
      <c r="F105" s="50"/>
      <c r="G105" s="6"/>
      <c r="H105" s="6"/>
      <c r="I105" s="6"/>
      <c r="J105" s="6"/>
      <c r="K105" s="47"/>
    </row>
    <row r="106" spans="6:11" x14ac:dyDescent="0.25">
      <c r="F106" s="50"/>
      <c r="G106" s="6"/>
      <c r="H106" s="6"/>
      <c r="I106" s="6"/>
      <c r="J106" s="6"/>
      <c r="K106" s="47"/>
    </row>
    <row r="107" spans="6:11" x14ac:dyDescent="0.25">
      <c r="F107" s="50"/>
      <c r="G107" s="6"/>
      <c r="H107" s="6"/>
      <c r="I107" s="6"/>
      <c r="J107" s="6"/>
      <c r="K107" s="47"/>
    </row>
    <row r="108" spans="6:11" x14ac:dyDescent="0.25">
      <c r="F108" s="50"/>
      <c r="G108" s="6"/>
      <c r="H108" s="6"/>
      <c r="I108" s="6"/>
      <c r="J108" s="6"/>
      <c r="K108" s="47"/>
    </row>
    <row r="109" spans="6:11" x14ac:dyDescent="0.25">
      <c r="F109" s="50"/>
      <c r="G109" s="6"/>
      <c r="H109" s="6"/>
      <c r="I109" s="6"/>
      <c r="J109" s="6"/>
      <c r="K109" s="47"/>
    </row>
    <row r="110" spans="6:11" x14ac:dyDescent="0.25">
      <c r="F110" s="50"/>
      <c r="G110" s="6"/>
      <c r="H110" s="6"/>
      <c r="I110" s="6"/>
      <c r="J110" s="6"/>
      <c r="K110" s="47"/>
    </row>
    <row r="111" spans="6:11" x14ac:dyDescent="0.25">
      <c r="F111" s="50"/>
      <c r="G111" s="6"/>
      <c r="H111" s="6"/>
      <c r="I111" s="6"/>
      <c r="J111" s="6"/>
      <c r="K111" s="47"/>
    </row>
    <row r="112" spans="6:11" x14ac:dyDescent="0.25">
      <c r="F112" s="50"/>
      <c r="G112" s="6"/>
      <c r="H112" s="6"/>
      <c r="I112" s="6"/>
      <c r="J112" s="6"/>
      <c r="K112" s="47"/>
    </row>
    <row r="113" spans="6:11" x14ac:dyDescent="0.25">
      <c r="F113" s="50"/>
      <c r="G113" s="6"/>
      <c r="H113" s="6"/>
      <c r="I113" s="6"/>
      <c r="J113" s="6"/>
      <c r="K113" s="47"/>
    </row>
    <row r="114" spans="6:11" x14ac:dyDescent="0.25">
      <c r="F114" s="50"/>
      <c r="G114" s="6"/>
      <c r="H114" s="6"/>
      <c r="I114" s="6"/>
      <c r="J114" s="6"/>
      <c r="K114" s="47"/>
    </row>
    <row r="115" spans="6:11" x14ac:dyDescent="0.25">
      <c r="F115" s="50"/>
      <c r="G115" s="6"/>
      <c r="H115" s="6"/>
      <c r="I115" s="6"/>
      <c r="J115" s="6"/>
      <c r="K115" s="47"/>
    </row>
    <row r="116" spans="6:11" x14ac:dyDescent="0.25">
      <c r="F116" s="50"/>
      <c r="G116" s="6"/>
      <c r="H116" s="6"/>
      <c r="I116" s="6"/>
      <c r="J116" s="6"/>
      <c r="K116" s="47"/>
    </row>
    <row r="117" spans="6:11" x14ac:dyDescent="0.25">
      <c r="F117" s="50"/>
      <c r="G117" s="6"/>
      <c r="H117" s="6"/>
      <c r="I117" s="6"/>
      <c r="J117" s="6"/>
      <c r="K117" s="47"/>
    </row>
    <row r="118" spans="6:11" x14ac:dyDescent="0.25">
      <c r="F118" s="50"/>
      <c r="G118" s="6"/>
      <c r="H118" s="6"/>
      <c r="I118" s="6"/>
      <c r="J118" s="6"/>
      <c r="K118" s="47"/>
    </row>
    <row r="119" spans="6:11" x14ac:dyDescent="0.25">
      <c r="F119" s="50"/>
      <c r="G119" s="6"/>
      <c r="H119" s="6"/>
      <c r="I119" s="6"/>
      <c r="J119" s="6"/>
      <c r="K119" s="47"/>
    </row>
    <row r="120" spans="6:11" x14ac:dyDescent="0.25">
      <c r="F120" s="50"/>
      <c r="G120" s="6"/>
      <c r="H120" s="6"/>
      <c r="I120" s="6"/>
      <c r="J120" s="6"/>
      <c r="K120" s="47"/>
    </row>
    <row r="121" spans="6:11" x14ac:dyDescent="0.25">
      <c r="F121" s="50"/>
      <c r="G121" s="6"/>
      <c r="H121" s="6"/>
      <c r="I121" s="6"/>
      <c r="J121" s="6"/>
      <c r="K121" s="47"/>
    </row>
    <row r="122" spans="6:11" x14ac:dyDescent="0.25">
      <c r="F122" s="50"/>
      <c r="G122" s="6"/>
      <c r="H122" s="6"/>
      <c r="I122" s="6"/>
      <c r="J122" s="6"/>
      <c r="K122" s="47"/>
    </row>
    <row r="123" spans="6:11" x14ac:dyDescent="0.25">
      <c r="F123" s="50"/>
      <c r="G123" s="6"/>
      <c r="H123" s="6"/>
      <c r="I123" s="6"/>
      <c r="J123" s="6"/>
      <c r="K123" s="47"/>
    </row>
    <row r="124" spans="6:11" x14ac:dyDescent="0.25">
      <c r="F124" s="50"/>
      <c r="G124" s="6"/>
      <c r="H124" s="6"/>
      <c r="I124" s="6"/>
      <c r="J124" s="6"/>
      <c r="K124" s="47"/>
    </row>
    <row r="125" spans="6:11" x14ac:dyDescent="0.25">
      <c r="F125" s="50"/>
      <c r="G125" s="6"/>
      <c r="H125" s="6"/>
      <c r="I125" s="6"/>
      <c r="J125" s="6"/>
      <c r="K125" s="47"/>
    </row>
    <row r="126" spans="6:11" x14ac:dyDescent="0.25">
      <c r="F126" s="50"/>
      <c r="G126" s="6"/>
      <c r="H126" s="6"/>
      <c r="I126" s="6"/>
      <c r="J126" s="6"/>
      <c r="K126" s="47"/>
    </row>
    <row r="127" spans="6:11" x14ac:dyDescent="0.25">
      <c r="F127" s="50"/>
      <c r="G127" s="6"/>
      <c r="H127" s="6"/>
      <c r="I127" s="6"/>
      <c r="J127" s="6"/>
      <c r="K127" s="47"/>
    </row>
    <row r="128" spans="6:11" x14ac:dyDescent="0.25">
      <c r="F128" s="50"/>
      <c r="G128" s="6"/>
      <c r="H128" s="6"/>
      <c r="I128" s="6"/>
      <c r="J128" s="6"/>
      <c r="K128" s="47"/>
    </row>
    <row r="129" spans="6:11" x14ac:dyDescent="0.25">
      <c r="F129" s="50"/>
      <c r="G129" s="6"/>
      <c r="H129" s="6"/>
      <c r="I129" s="6"/>
      <c r="J129" s="6"/>
      <c r="K129" s="47"/>
    </row>
    <row r="130" spans="6:11" x14ac:dyDescent="0.25">
      <c r="F130" s="50"/>
      <c r="G130" s="6"/>
      <c r="H130" s="6"/>
      <c r="I130" s="6"/>
      <c r="J130" s="6"/>
      <c r="K130" s="47"/>
    </row>
    <row r="131" spans="6:11" x14ac:dyDescent="0.25">
      <c r="F131" s="50"/>
      <c r="G131" s="6"/>
      <c r="H131" s="6"/>
      <c r="I131" s="6"/>
      <c r="J131" s="6"/>
      <c r="K131" s="47"/>
    </row>
    <row r="132" spans="6:11" x14ac:dyDescent="0.25">
      <c r="F132" s="50"/>
      <c r="G132" s="6"/>
      <c r="H132" s="6"/>
      <c r="I132" s="6"/>
      <c r="J132" s="6"/>
      <c r="K132" s="47"/>
    </row>
    <row r="133" spans="6:11" ht="15.75" thickBot="1" x14ac:dyDescent="0.3">
      <c r="F133" s="51"/>
      <c r="G133" s="52"/>
      <c r="H133" s="52"/>
      <c r="I133" s="52"/>
      <c r="J133" s="52"/>
      <c r="K133" s="53"/>
    </row>
  </sheetData>
  <hyperlinks>
    <hyperlink ref="D26" r:id="rId1"/>
    <hyperlink ref="H1"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fresh_Click2">
                <anchor moveWithCells="1" sizeWithCells="1">
                  <from>
                    <xdr:col>3</xdr:col>
                    <xdr:colOff>238125</xdr:colOff>
                    <xdr:row>1</xdr:row>
                    <xdr:rowOff>190500</xdr:rowOff>
                  </from>
                  <to>
                    <xdr:col>4</xdr:col>
                    <xdr:colOff>95250</xdr:colOff>
                    <xdr:row>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166"/>
  <sheetViews>
    <sheetView showGridLines="0" topLeftCell="A3" zoomScale="85" zoomScaleNormal="85" workbookViewId="0">
      <selection activeCell="A4" sqref="A4"/>
    </sheetView>
  </sheetViews>
  <sheetFormatPr defaultRowHeight="15" x14ac:dyDescent="0.25"/>
  <cols>
    <col min="1" max="1" width="32.375" customWidth="1"/>
    <col min="2" max="2" width="42.625" style="40" customWidth="1"/>
    <col min="3" max="3" width="4.25" style="42" customWidth="1"/>
    <col min="4" max="4" width="26.875" bestFit="1" customWidth="1"/>
    <col min="5" max="5" width="44.25" style="40" customWidth="1"/>
  </cols>
  <sheetData>
    <row r="2" spans="1:5" x14ac:dyDescent="0.25">
      <c r="A2" s="1" t="s">
        <v>1</v>
      </c>
      <c r="B2" s="39" t="s">
        <v>523</v>
      </c>
      <c r="C2" s="41" t="s">
        <v>524</v>
      </c>
      <c r="D2" s="1" t="s">
        <v>0</v>
      </c>
      <c r="E2" s="39" t="s">
        <v>303</v>
      </c>
    </row>
    <row r="3" spans="1:5" ht="30" x14ac:dyDescent="0.25">
      <c r="A3" t="s">
        <v>15</v>
      </c>
      <c r="B3" s="40" t="s">
        <v>621</v>
      </c>
      <c r="D3" t="s">
        <v>50</v>
      </c>
      <c r="E3" s="40" t="s">
        <v>308</v>
      </c>
    </row>
    <row r="4" spans="1:5" ht="75" x14ac:dyDescent="0.25">
      <c r="A4" t="s">
        <v>51</v>
      </c>
      <c r="B4" s="40" t="s">
        <v>306</v>
      </c>
      <c r="D4" t="s">
        <v>52</v>
      </c>
      <c r="E4" s="40" t="s">
        <v>307</v>
      </c>
    </row>
    <row r="5" spans="1:5" ht="30" x14ac:dyDescent="0.25">
      <c r="A5" t="s">
        <v>83</v>
      </c>
      <c r="B5" s="40" t="s">
        <v>319</v>
      </c>
      <c r="D5" t="s">
        <v>273</v>
      </c>
      <c r="E5" s="40" t="s">
        <v>515</v>
      </c>
    </row>
    <row r="6" spans="1:5" ht="30" x14ac:dyDescent="0.25">
      <c r="A6" t="s">
        <v>81</v>
      </c>
      <c r="B6" s="40" t="s">
        <v>320</v>
      </c>
      <c r="D6" t="s">
        <v>271</v>
      </c>
      <c r="E6" s="40" t="s">
        <v>471</v>
      </c>
    </row>
    <row r="7" spans="1:5" ht="75" x14ac:dyDescent="0.25">
      <c r="A7" t="s">
        <v>63</v>
      </c>
      <c r="B7" s="40" t="s">
        <v>338</v>
      </c>
      <c r="D7" t="s">
        <v>269</v>
      </c>
      <c r="E7" s="40" t="s">
        <v>472</v>
      </c>
    </row>
    <row r="8" spans="1:5" ht="30" x14ac:dyDescent="0.25">
      <c r="A8" t="s">
        <v>75</v>
      </c>
      <c r="B8" s="40" t="s">
        <v>326</v>
      </c>
      <c r="D8" t="s">
        <v>277</v>
      </c>
      <c r="E8" s="40" t="s">
        <v>511</v>
      </c>
    </row>
    <row r="9" spans="1:5" ht="30" x14ac:dyDescent="0.25">
      <c r="A9" t="s">
        <v>57</v>
      </c>
      <c r="B9" s="40" t="s">
        <v>344</v>
      </c>
      <c r="D9" t="s">
        <v>279</v>
      </c>
      <c r="E9" s="40" t="s">
        <v>510</v>
      </c>
    </row>
    <row r="10" spans="1:5" ht="60" x14ac:dyDescent="0.25">
      <c r="A10" t="s">
        <v>67</v>
      </c>
      <c r="B10" s="40" t="s">
        <v>334</v>
      </c>
      <c r="D10" t="s">
        <v>281</v>
      </c>
      <c r="E10" s="40" t="s">
        <v>509</v>
      </c>
    </row>
    <row r="11" spans="1:5" ht="45" x14ac:dyDescent="0.25">
      <c r="A11" t="s">
        <v>69</v>
      </c>
      <c r="B11" s="40" t="s">
        <v>332</v>
      </c>
      <c r="D11" t="s">
        <v>275</v>
      </c>
      <c r="E11" s="40" t="s">
        <v>513</v>
      </c>
    </row>
    <row r="12" spans="1:5" ht="90" x14ac:dyDescent="0.25">
      <c r="A12" t="s">
        <v>65</v>
      </c>
      <c r="B12" s="40" t="s">
        <v>336</v>
      </c>
      <c r="D12" t="s">
        <v>267</v>
      </c>
      <c r="E12" s="40" t="s">
        <v>473</v>
      </c>
    </row>
    <row r="13" spans="1:5" ht="30" x14ac:dyDescent="0.25">
      <c r="A13" t="s">
        <v>71</v>
      </c>
      <c r="B13" s="40" t="s">
        <v>330</v>
      </c>
      <c r="D13" t="s">
        <v>185</v>
      </c>
      <c r="E13" s="40" t="s">
        <v>434</v>
      </c>
    </row>
    <row r="14" spans="1:5" ht="30" x14ac:dyDescent="0.25">
      <c r="A14" t="s">
        <v>73</v>
      </c>
      <c r="B14" s="40" t="s">
        <v>328</v>
      </c>
      <c r="D14" t="s">
        <v>193</v>
      </c>
      <c r="E14" s="40" t="s">
        <v>428</v>
      </c>
    </row>
    <row r="15" spans="1:5" ht="30" x14ac:dyDescent="0.25">
      <c r="A15" t="s">
        <v>59</v>
      </c>
      <c r="B15" s="40" t="s">
        <v>342</v>
      </c>
      <c r="D15" t="s">
        <v>153</v>
      </c>
      <c r="E15" s="40" t="s">
        <v>409</v>
      </c>
    </row>
    <row r="16" spans="1:5" ht="30" x14ac:dyDescent="0.25">
      <c r="A16" t="s">
        <v>61</v>
      </c>
      <c r="B16" s="40" t="s">
        <v>340</v>
      </c>
      <c r="D16" t="s">
        <v>179</v>
      </c>
      <c r="E16" s="40" t="s">
        <v>439</v>
      </c>
    </row>
    <row r="17" spans="1:5" ht="60" x14ac:dyDescent="0.25">
      <c r="A17" t="s">
        <v>79</v>
      </c>
      <c r="B17" s="40" t="s">
        <v>322</v>
      </c>
      <c r="D17" t="s">
        <v>175</v>
      </c>
      <c r="E17" s="40" t="s">
        <v>387</v>
      </c>
    </row>
    <row r="18" spans="1:5" ht="30" x14ac:dyDescent="0.25">
      <c r="A18" t="s">
        <v>77</v>
      </c>
      <c r="B18" s="40" t="s">
        <v>324</v>
      </c>
      <c r="D18" t="s">
        <v>205</v>
      </c>
      <c r="E18" s="40" t="s">
        <v>418</v>
      </c>
    </row>
    <row r="19" spans="1:5" ht="30" x14ac:dyDescent="0.25">
      <c r="A19" t="s">
        <v>89</v>
      </c>
      <c r="B19" s="40" t="s">
        <v>367</v>
      </c>
      <c r="D19" t="s">
        <v>157</v>
      </c>
      <c r="E19" s="40" t="s">
        <v>405</v>
      </c>
    </row>
    <row r="20" spans="1:5" ht="60" x14ac:dyDescent="0.25">
      <c r="A20" t="s">
        <v>87</v>
      </c>
      <c r="B20" s="40" t="s">
        <v>368</v>
      </c>
      <c r="D20" t="s">
        <v>22</v>
      </c>
      <c r="E20" s="40" t="s">
        <v>412</v>
      </c>
    </row>
    <row r="21" spans="1:5" ht="45" x14ac:dyDescent="0.25">
      <c r="A21" t="s">
        <v>91</v>
      </c>
      <c r="B21" s="40" t="s">
        <v>366</v>
      </c>
      <c r="D21" t="s">
        <v>161</v>
      </c>
      <c r="E21" s="40" t="s">
        <v>401</v>
      </c>
    </row>
    <row r="22" spans="1:5" ht="30" x14ac:dyDescent="0.25">
      <c r="A22" t="s">
        <v>93</v>
      </c>
      <c r="B22" s="40" t="s">
        <v>364</v>
      </c>
      <c r="D22" t="s">
        <v>197</v>
      </c>
      <c r="E22" s="40" t="s">
        <v>424</v>
      </c>
    </row>
    <row r="23" spans="1:5" ht="30" x14ac:dyDescent="0.25">
      <c r="A23" t="s">
        <v>85</v>
      </c>
      <c r="B23" s="40" t="s">
        <v>318</v>
      </c>
      <c r="D23" t="s">
        <v>129</v>
      </c>
      <c r="E23" s="40" t="s">
        <v>376</v>
      </c>
    </row>
    <row r="24" spans="1:5" ht="30" x14ac:dyDescent="0.25">
      <c r="A24" t="s">
        <v>234</v>
      </c>
      <c r="B24" s="40" t="s">
        <v>445</v>
      </c>
      <c r="D24" t="s">
        <v>134</v>
      </c>
      <c r="E24" s="40" t="s">
        <v>372</v>
      </c>
    </row>
    <row r="25" spans="1:5" ht="30" x14ac:dyDescent="0.25">
      <c r="A25" t="s">
        <v>216</v>
      </c>
      <c r="B25" s="40" t="s">
        <v>462</v>
      </c>
      <c r="D25" t="s">
        <v>122</v>
      </c>
      <c r="E25" s="40" t="s">
        <v>381</v>
      </c>
    </row>
    <row r="26" spans="1:5" ht="75" x14ac:dyDescent="0.25">
      <c r="A26" t="s">
        <v>210</v>
      </c>
      <c r="B26" s="40" t="s">
        <v>467</v>
      </c>
      <c r="D26" t="s">
        <v>165</v>
      </c>
      <c r="E26" s="40" t="s">
        <v>397</v>
      </c>
    </row>
    <row r="27" spans="1:5" ht="45" x14ac:dyDescent="0.25">
      <c r="A27" t="s">
        <v>214</v>
      </c>
      <c r="B27" s="40" t="s">
        <v>464</v>
      </c>
      <c r="D27" t="s">
        <v>169</v>
      </c>
      <c r="E27" s="40" t="s">
        <v>393</v>
      </c>
    </row>
    <row r="28" spans="1:5" ht="30" x14ac:dyDescent="0.25">
      <c r="A28" t="s">
        <v>212</v>
      </c>
      <c r="B28" s="40" t="s">
        <v>466</v>
      </c>
      <c r="D28" t="s">
        <v>551</v>
      </c>
      <c r="E28" s="40" t="s">
        <v>552</v>
      </c>
    </row>
    <row r="29" spans="1:5" ht="30" x14ac:dyDescent="0.25">
      <c r="A29" t="s">
        <v>102</v>
      </c>
      <c r="B29" s="40" t="s">
        <v>561</v>
      </c>
      <c r="D29" t="s">
        <v>112</v>
      </c>
      <c r="E29" s="40" t="s">
        <v>568</v>
      </c>
    </row>
    <row r="30" spans="1:5" ht="30" x14ac:dyDescent="0.25">
      <c r="A30" t="s">
        <v>104</v>
      </c>
      <c r="B30" s="40" t="s">
        <v>562</v>
      </c>
      <c r="D30" t="s">
        <v>45</v>
      </c>
      <c r="E30" s="40" t="s">
        <v>552</v>
      </c>
    </row>
    <row r="31" spans="1:5" ht="75" x14ac:dyDescent="0.25">
      <c r="A31" t="s">
        <v>43</v>
      </c>
      <c r="B31" s="40" t="s">
        <v>313</v>
      </c>
      <c r="D31" t="s">
        <v>255</v>
      </c>
      <c r="E31" s="40" t="s">
        <v>485</v>
      </c>
    </row>
    <row r="32" spans="1:5" ht="45" x14ac:dyDescent="0.25">
      <c r="A32" t="s">
        <v>26</v>
      </c>
      <c r="B32" s="40" t="s">
        <v>574</v>
      </c>
      <c r="D32" t="s">
        <v>546</v>
      </c>
      <c r="E32" s="40" t="s">
        <v>547</v>
      </c>
    </row>
    <row r="33" spans="1:5" ht="30" x14ac:dyDescent="0.25">
      <c r="A33" t="s">
        <v>125</v>
      </c>
      <c r="B33" s="40" t="s">
        <v>569</v>
      </c>
      <c r="D33" t="s">
        <v>38</v>
      </c>
      <c r="E33" s="40" t="s">
        <v>316</v>
      </c>
    </row>
    <row r="34" spans="1:5" ht="30" x14ac:dyDescent="0.25">
      <c r="A34" t="s">
        <v>14</v>
      </c>
      <c r="B34" s="40" t="s">
        <v>571</v>
      </c>
      <c r="D34" t="s">
        <v>64</v>
      </c>
      <c r="E34" s="40" t="s">
        <v>339</v>
      </c>
    </row>
    <row r="35" spans="1:5" ht="30" x14ac:dyDescent="0.25">
      <c r="A35" t="s">
        <v>246</v>
      </c>
      <c r="B35" s="40" t="s">
        <v>491</v>
      </c>
      <c r="D35" t="s">
        <v>62</v>
      </c>
      <c r="E35" s="40" t="s">
        <v>341</v>
      </c>
    </row>
    <row r="36" spans="1:5" x14ac:dyDescent="0.25">
      <c r="A36" t="s">
        <v>272</v>
      </c>
      <c r="B36" s="40" t="s">
        <v>514</v>
      </c>
      <c r="D36" t="s">
        <v>60</v>
      </c>
      <c r="E36" s="40" t="s">
        <v>343</v>
      </c>
    </row>
    <row r="37" spans="1:5" x14ac:dyDescent="0.25">
      <c r="A37" t="s">
        <v>274</v>
      </c>
      <c r="B37" s="40" t="s">
        <v>512</v>
      </c>
      <c r="D37" t="s">
        <v>56</v>
      </c>
      <c r="E37" s="40" t="s">
        <v>346</v>
      </c>
    </row>
    <row r="38" spans="1:5" x14ac:dyDescent="0.25">
      <c r="A38" t="s">
        <v>276</v>
      </c>
      <c r="B38" s="40" t="s">
        <v>608</v>
      </c>
      <c r="D38" t="s">
        <v>54</v>
      </c>
      <c r="E38" s="40" t="s">
        <v>305</v>
      </c>
    </row>
    <row r="39" spans="1:5" ht="60" x14ac:dyDescent="0.25">
      <c r="A39" t="s">
        <v>292</v>
      </c>
      <c r="B39" s="40" t="s">
        <v>499</v>
      </c>
      <c r="D39" t="s">
        <v>58</v>
      </c>
      <c r="E39" s="40" t="s">
        <v>345</v>
      </c>
    </row>
    <row r="40" spans="1:5" ht="30" x14ac:dyDescent="0.25">
      <c r="A40" t="s">
        <v>283</v>
      </c>
      <c r="B40" s="40" t="s">
        <v>508</v>
      </c>
      <c r="D40" t="s">
        <v>151</v>
      </c>
      <c r="E40" s="40" t="s">
        <v>411</v>
      </c>
    </row>
    <row r="41" spans="1:5" ht="75" x14ac:dyDescent="0.25">
      <c r="A41" t="s">
        <v>290</v>
      </c>
      <c r="B41" s="40" t="s">
        <v>501</v>
      </c>
      <c r="D41" t="s">
        <v>177</v>
      </c>
      <c r="E41" s="40" t="s">
        <v>441</v>
      </c>
    </row>
    <row r="42" spans="1:5" ht="75" x14ac:dyDescent="0.25">
      <c r="A42" t="s">
        <v>291</v>
      </c>
      <c r="B42" s="40" t="s">
        <v>500</v>
      </c>
      <c r="D42" t="s">
        <v>173</v>
      </c>
      <c r="E42" s="40" t="s">
        <v>389</v>
      </c>
    </row>
    <row r="43" spans="1:5" ht="60" x14ac:dyDescent="0.25">
      <c r="A43" t="s">
        <v>537</v>
      </c>
      <c r="B43" s="40" t="s">
        <v>538</v>
      </c>
      <c r="D43" t="s">
        <v>181</v>
      </c>
      <c r="E43" s="40" t="s">
        <v>437</v>
      </c>
    </row>
    <row r="44" spans="1:5" ht="30" x14ac:dyDescent="0.25">
      <c r="A44" t="s">
        <v>34</v>
      </c>
      <c r="B44" s="40" t="s">
        <v>538</v>
      </c>
      <c r="D44" t="s">
        <v>40</v>
      </c>
      <c r="E44" s="40" t="s">
        <v>545</v>
      </c>
    </row>
    <row r="45" spans="1:5" ht="30" x14ac:dyDescent="0.25">
      <c r="A45" t="s">
        <v>238</v>
      </c>
      <c r="B45" s="40" t="s">
        <v>442</v>
      </c>
      <c r="D45" t="s">
        <v>103</v>
      </c>
      <c r="E45" s="40" t="s">
        <v>355</v>
      </c>
    </row>
    <row r="46" spans="1:5" ht="45" x14ac:dyDescent="0.25">
      <c r="A46" t="s">
        <v>123</v>
      </c>
      <c r="B46" s="40" t="s">
        <v>378</v>
      </c>
      <c r="D46" t="s">
        <v>20</v>
      </c>
      <c r="E46" s="40" t="s">
        <v>357</v>
      </c>
    </row>
    <row r="47" spans="1:5" ht="30" x14ac:dyDescent="0.25">
      <c r="A47" t="s">
        <v>270</v>
      </c>
      <c r="B47" s="40" t="s">
        <v>470</v>
      </c>
      <c r="D47" t="s">
        <v>596</v>
      </c>
      <c r="E47" s="40" t="s">
        <v>597</v>
      </c>
    </row>
    <row r="48" spans="1:5" x14ac:dyDescent="0.25">
      <c r="A48" t="s">
        <v>228</v>
      </c>
      <c r="B48" s="40" t="s">
        <v>451</v>
      </c>
      <c r="D48" t="s">
        <v>209</v>
      </c>
      <c r="E48" s="40" t="s">
        <v>597</v>
      </c>
    </row>
    <row r="49" spans="1:5" x14ac:dyDescent="0.25">
      <c r="A49" t="s">
        <v>226</v>
      </c>
      <c r="B49" s="40" t="s">
        <v>453</v>
      </c>
      <c r="D49" t="s">
        <v>203</v>
      </c>
      <c r="E49" s="40" t="s">
        <v>420</v>
      </c>
    </row>
    <row r="50" spans="1:5" ht="30" x14ac:dyDescent="0.25">
      <c r="A50" t="s">
        <v>230</v>
      </c>
      <c r="B50" s="40" t="s">
        <v>449</v>
      </c>
      <c r="D50" t="s">
        <v>257</v>
      </c>
      <c r="E50" s="40" t="s">
        <v>483</v>
      </c>
    </row>
    <row r="51" spans="1:5" ht="30" x14ac:dyDescent="0.25">
      <c r="A51" t="s">
        <v>264</v>
      </c>
      <c r="B51" s="40" t="s">
        <v>474</v>
      </c>
      <c r="D51" t="s">
        <v>259</v>
      </c>
      <c r="E51" s="40" t="s">
        <v>481</v>
      </c>
    </row>
    <row r="52" spans="1:5" ht="30" x14ac:dyDescent="0.25">
      <c r="A52" t="s">
        <v>190</v>
      </c>
      <c r="B52" s="40" t="s">
        <v>429</v>
      </c>
      <c r="D52" t="s">
        <v>116</v>
      </c>
      <c r="E52" s="40" t="s">
        <v>348</v>
      </c>
    </row>
    <row r="53" spans="1:5" ht="30" x14ac:dyDescent="0.25">
      <c r="A53" t="s">
        <v>224</v>
      </c>
      <c r="B53" s="40" t="s">
        <v>455</v>
      </c>
      <c r="D53" t="s">
        <v>114</v>
      </c>
      <c r="E53" s="40" t="s">
        <v>350</v>
      </c>
    </row>
    <row r="54" spans="1:5" ht="45" x14ac:dyDescent="0.25">
      <c r="A54" t="s">
        <v>266</v>
      </c>
      <c r="B54" s="40" t="s">
        <v>606</v>
      </c>
      <c r="D54" t="s">
        <v>261</v>
      </c>
      <c r="E54" s="40" t="s">
        <v>479</v>
      </c>
    </row>
    <row r="55" spans="1:5" ht="30" x14ac:dyDescent="0.25">
      <c r="A55" t="s">
        <v>268</v>
      </c>
      <c r="B55" s="40" t="s">
        <v>607</v>
      </c>
      <c r="D55" t="s">
        <v>263</v>
      </c>
      <c r="E55" s="40" t="s">
        <v>477</v>
      </c>
    </row>
    <row r="56" spans="1:5" ht="30" x14ac:dyDescent="0.25">
      <c r="A56" t="s">
        <v>141</v>
      </c>
      <c r="B56" s="40" t="s">
        <v>581</v>
      </c>
      <c r="D56" t="s">
        <v>96</v>
      </c>
      <c r="E56" s="40" t="s">
        <v>363</v>
      </c>
    </row>
    <row r="57" spans="1:5" ht="30" x14ac:dyDescent="0.25">
      <c r="A57" t="s">
        <v>41</v>
      </c>
      <c r="B57" s="40" t="s">
        <v>314</v>
      </c>
      <c r="D57" t="s">
        <v>92</v>
      </c>
      <c r="E57" s="40" t="s">
        <v>560</v>
      </c>
    </row>
    <row r="58" spans="1:5" ht="30" x14ac:dyDescent="0.25">
      <c r="A58" t="s">
        <v>95</v>
      </c>
      <c r="B58" s="40" t="s">
        <v>362</v>
      </c>
      <c r="D58" t="s">
        <v>78</v>
      </c>
      <c r="E58" s="40" t="s">
        <v>325</v>
      </c>
    </row>
    <row r="59" spans="1:5" ht="45" x14ac:dyDescent="0.25">
      <c r="A59" t="s">
        <v>97</v>
      </c>
      <c r="B59" s="40" t="s">
        <v>360</v>
      </c>
      <c r="D59" t="s">
        <v>88</v>
      </c>
      <c r="E59" s="40" t="s">
        <v>558</v>
      </c>
    </row>
    <row r="60" spans="1:5" ht="45" x14ac:dyDescent="0.25">
      <c r="A60" t="s">
        <v>99</v>
      </c>
      <c r="B60" s="40" t="s">
        <v>358</v>
      </c>
      <c r="D60" t="s">
        <v>74</v>
      </c>
      <c r="E60" s="40" t="s">
        <v>329</v>
      </c>
    </row>
    <row r="61" spans="1:5" ht="45" x14ac:dyDescent="0.25">
      <c r="A61" t="s">
        <v>101</v>
      </c>
      <c r="B61" s="40" t="s">
        <v>356</v>
      </c>
      <c r="D61" t="s">
        <v>82</v>
      </c>
      <c r="E61" s="40" t="s">
        <v>321</v>
      </c>
    </row>
    <row r="62" spans="1:5" ht="45" x14ac:dyDescent="0.25">
      <c r="A62" t="s">
        <v>55</v>
      </c>
      <c r="B62" s="40" t="s">
        <v>554</v>
      </c>
      <c r="D62" t="s">
        <v>144</v>
      </c>
      <c r="E62" s="40" t="s">
        <v>369</v>
      </c>
    </row>
    <row r="63" spans="1:5" ht="30" x14ac:dyDescent="0.25">
      <c r="A63" t="s">
        <v>172</v>
      </c>
      <c r="B63" s="40" t="s">
        <v>388</v>
      </c>
      <c r="D63" t="s">
        <v>555</v>
      </c>
      <c r="E63" s="40" t="s">
        <v>556</v>
      </c>
    </row>
    <row r="64" spans="1:5" ht="75" x14ac:dyDescent="0.25">
      <c r="A64" t="s">
        <v>284</v>
      </c>
      <c r="B64" s="40" t="s">
        <v>507</v>
      </c>
      <c r="D64" t="s">
        <v>84</v>
      </c>
      <c r="E64" s="40" t="s">
        <v>556</v>
      </c>
    </row>
    <row r="65" spans="1:5" ht="30" x14ac:dyDescent="0.25">
      <c r="A65" t="s">
        <v>301</v>
      </c>
      <c r="B65" s="40" t="s">
        <v>517</v>
      </c>
      <c r="D65" t="s">
        <v>94</v>
      </c>
      <c r="E65" s="40" t="s">
        <v>365</v>
      </c>
    </row>
    <row r="66" spans="1:5" ht="45" x14ac:dyDescent="0.25">
      <c r="A66" t="s">
        <v>302</v>
      </c>
      <c r="B66" s="40" t="s">
        <v>516</v>
      </c>
      <c r="D66" t="s">
        <v>90</v>
      </c>
      <c r="E66" s="40" t="s">
        <v>559</v>
      </c>
    </row>
    <row r="67" spans="1:5" ht="45" x14ac:dyDescent="0.25">
      <c r="A67" t="s">
        <v>300</v>
      </c>
      <c r="B67" s="40" t="s">
        <v>518</v>
      </c>
      <c r="D67" t="s">
        <v>76</v>
      </c>
      <c r="E67" s="40" t="s">
        <v>327</v>
      </c>
    </row>
    <row r="68" spans="1:5" ht="45" x14ac:dyDescent="0.25">
      <c r="A68" t="s">
        <v>109</v>
      </c>
      <c r="B68" s="40" t="s">
        <v>352</v>
      </c>
      <c r="D68" t="s">
        <v>86</v>
      </c>
      <c r="E68" s="40" t="s">
        <v>557</v>
      </c>
    </row>
    <row r="69" spans="1:5" ht="75" x14ac:dyDescent="0.25">
      <c r="A69" t="s">
        <v>295</v>
      </c>
      <c r="B69" s="40" t="s">
        <v>520</v>
      </c>
      <c r="D69" t="s">
        <v>72</v>
      </c>
      <c r="E69" s="40" t="s">
        <v>331</v>
      </c>
    </row>
    <row r="70" spans="1:5" ht="60" x14ac:dyDescent="0.25">
      <c r="A70" t="s">
        <v>296</v>
      </c>
      <c r="B70" s="40" t="s">
        <v>612</v>
      </c>
      <c r="D70" t="s">
        <v>80</v>
      </c>
      <c r="E70" s="40" t="s">
        <v>323</v>
      </c>
    </row>
    <row r="71" spans="1:5" x14ac:dyDescent="0.25">
      <c r="A71" t="s">
        <v>297</v>
      </c>
      <c r="B71" s="40" t="s">
        <v>519</v>
      </c>
      <c r="D71" t="s">
        <v>49</v>
      </c>
      <c r="E71" s="40" t="s">
        <v>310</v>
      </c>
    </row>
    <row r="72" spans="1:5" ht="45" x14ac:dyDescent="0.25">
      <c r="A72" t="s">
        <v>111</v>
      </c>
      <c r="B72" s="40" t="s">
        <v>351</v>
      </c>
      <c r="D72" t="s">
        <v>227</v>
      </c>
      <c r="E72" s="40" t="s">
        <v>454</v>
      </c>
    </row>
    <row r="73" spans="1:5" ht="30" x14ac:dyDescent="0.25">
      <c r="A73" t="s">
        <v>617</v>
      </c>
      <c r="B73" s="40" t="s">
        <v>618</v>
      </c>
      <c r="D73" t="s">
        <v>233</v>
      </c>
      <c r="E73" s="40" t="s">
        <v>448</v>
      </c>
    </row>
    <row r="74" spans="1:5" ht="45" x14ac:dyDescent="0.25">
      <c r="A74" t="s">
        <v>143</v>
      </c>
      <c r="B74" s="40" t="s">
        <v>582</v>
      </c>
      <c r="D74" t="s">
        <v>235</v>
      </c>
      <c r="E74" s="40" t="s">
        <v>446</v>
      </c>
    </row>
    <row r="75" spans="1:5" ht="75" x14ac:dyDescent="0.25">
      <c r="A75" t="s">
        <v>28</v>
      </c>
      <c r="B75" s="40" t="s">
        <v>553</v>
      </c>
      <c r="D75" t="s">
        <v>243</v>
      </c>
      <c r="E75" s="40" t="s">
        <v>496</v>
      </c>
    </row>
    <row r="76" spans="1:5" x14ac:dyDescent="0.25">
      <c r="A76" t="s">
        <v>186</v>
      </c>
      <c r="B76" s="40" t="s">
        <v>432</v>
      </c>
      <c r="D76" t="s">
        <v>237</v>
      </c>
      <c r="E76" s="40" t="s">
        <v>444</v>
      </c>
    </row>
    <row r="77" spans="1:5" x14ac:dyDescent="0.25">
      <c r="A77" t="s">
        <v>222</v>
      </c>
      <c r="B77" s="40" t="s">
        <v>457</v>
      </c>
      <c r="D77" t="s">
        <v>239</v>
      </c>
      <c r="E77" s="40" t="s">
        <v>443</v>
      </c>
    </row>
    <row r="78" spans="1:5" ht="45" x14ac:dyDescent="0.25">
      <c r="A78" t="s">
        <v>145</v>
      </c>
      <c r="B78" s="40" t="s">
        <v>414</v>
      </c>
      <c r="D78" t="s">
        <v>241</v>
      </c>
      <c r="E78" s="40" t="s">
        <v>498</v>
      </c>
    </row>
    <row r="79" spans="1:5" ht="60" x14ac:dyDescent="0.25">
      <c r="A79" t="s">
        <v>133</v>
      </c>
      <c r="B79" s="40" t="s">
        <v>575</v>
      </c>
      <c r="D79" t="s">
        <v>70</v>
      </c>
      <c r="E79" s="40" t="s">
        <v>333</v>
      </c>
    </row>
    <row r="80" spans="1:5" ht="60" x14ac:dyDescent="0.25">
      <c r="A80" t="s">
        <v>135</v>
      </c>
      <c r="B80" s="40" t="s">
        <v>578</v>
      </c>
      <c r="D80" t="s">
        <v>265</v>
      </c>
      <c r="E80" s="40" t="s">
        <v>475</v>
      </c>
    </row>
    <row r="81" spans="1:5" ht="90" x14ac:dyDescent="0.25">
      <c r="A81" t="s">
        <v>46</v>
      </c>
      <c r="B81" s="40" t="s">
        <v>311</v>
      </c>
      <c r="D81" t="s">
        <v>535</v>
      </c>
      <c r="E81" s="40" t="s">
        <v>536</v>
      </c>
    </row>
    <row r="82" spans="1:5" ht="30" x14ac:dyDescent="0.25">
      <c r="A82" t="s">
        <v>30</v>
      </c>
      <c r="B82" s="40" t="s">
        <v>373</v>
      </c>
      <c r="D82" t="s">
        <v>33</v>
      </c>
      <c r="E82" s="40" t="s">
        <v>536</v>
      </c>
    </row>
    <row r="83" spans="1:5" ht="30" x14ac:dyDescent="0.25">
      <c r="A83" t="s">
        <v>285</v>
      </c>
      <c r="B83" s="40" t="s">
        <v>506</v>
      </c>
      <c r="D83" t="s">
        <v>47</v>
      </c>
      <c r="E83" s="40" t="s">
        <v>312</v>
      </c>
    </row>
    <row r="84" spans="1:5" ht="30" x14ac:dyDescent="0.25">
      <c r="A84" t="s">
        <v>113</v>
      </c>
      <c r="B84" s="40" t="s">
        <v>349</v>
      </c>
      <c r="D84" t="s">
        <v>155</v>
      </c>
      <c r="E84" s="40" t="s">
        <v>407</v>
      </c>
    </row>
    <row r="85" spans="1:5" ht="30" x14ac:dyDescent="0.25">
      <c r="A85" t="s">
        <v>119</v>
      </c>
      <c r="B85" s="40" t="s">
        <v>382</v>
      </c>
      <c r="D85" t="s">
        <v>148</v>
      </c>
      <c r="E85" s="40" t="s">
        <v>413</v>
      </c>
    </row>
    <row r="86" spans="1:5" ht="60" x14ac:dyDescent="0.25">
      <c r="A86" t="s">
        <v>121</v>
      </c>
      <c r="B86" s="40" t="s">
        <v>380</v>
      </c>
      <c r="D86" t="s">
        <v>146</v>
      </c>
      <c r="E86" s="40" t="s">
        <v>415</v>
      </c>
    </row>
    <row r="87" spans="1:5" ht="45" x14ac:dyDescent="0.25">
      <c r="A87" t="s">
        <v>115</v>
      </c>
      <c r="B87" s="40" t="s">
        <v>347</v>
      </c>
      <c r="D87" t="s">
        <v>100</v>
      </c>
      <c r="E87" s="40" t="s">
        <v>359</v>
      </c>
    </row>
    <row r="88" spans="1:5" ht="30" x14ac:dyDescent="0.25">
      <c r="A88" t="s">
        <v>117</v>
      </c>
      <c r="B88" s="40" t="s">
        <v>384</v>
      </c>
      <c r="D88" t="s">
        <v>21</v>
      </c>
      <c r="E88" s="40" t="s">
        <v>354</v>
      </c>
    </row>
    <row r="89" spans="1:5" ht="45" x14ac:dyDescent="0.25">
      <c r="A89" t="s">
        <v>280</v>
      </c>
      <c r="B89" s="40" t="s">
        <v>610</v>
      </c>
      <c r="D89" t="s">
        <v>565</v>
      </c>
      <c r="E89" s="40" t="s">
        <v>566</v>
      </c>
    </row>
    <row r="90" spans="1:5" ht="45" x14ac:dyDescent="0.25">
      <c r="A90" t="s">
        <v>137</v>
      </c>
      <c r="B90" s="40" t="s">
        <v>579</v>
      </c>
      <c r="D90" t="s">
        <v>106</v>
      </c>
      <c r="E90" s="40" t="s">
        <v>566</v>
      </c>
    </row>
    <row r="91" spans="1:5" ht="75" x14ac:dyDescent="0.25">
      <c r="A91" t="s">
        <v>139</v>
      </c>
      <c r="B91" s="40" t="s">
        <v>580</v>
      </c>
      <c r="D91" t="s">
        <v>539</v>
      </c>
      <c r="E91" s="40" t="s">
        <v>540</v>
      </c>
    </row>
    <row r="92" spans="1:5" ht="45" x14ac:dyDescent="0.25">
      <c r="A92" t="s">
        <v>194</v>
      </c>
      <c r="B92" s="40" t="s">
        <v>425</v>
      </c>
      <c r="D92" t="s">
        <v>35</v>
      </c>
      <c r="E92" s="40" t="s">
        <v>540</v>
      </c>
    </row>
    <row r="93" spans="1:5" ht="45" x14ac:dyDescent="0.25">
      <c r="A93" t="s">
        <v>288</v>
      </c>
      <c r="B93" s="40" t="s">
        <v>503</v>
      </c>
      <c r="D93" t="s">
        <v>131</v>
      </c>
      <c r="E93" s="40" t="s">
        <v>374</v>
      </c>
    </row>
    <row r="94" spans="1:5" ht="45" x14ac:dyDescent="0.25">
      <c r="A94" t="s">
        <v>619</v>
      </c>
      <c r="B94" s="40" t="s">
        <v>620</v>
      </c>
      <c r="D94" t="s">
        <v>576</v>
      </c>
      <c r="E94" s="40" t="s">
        <v>577</v>
      </c>
    </row>
    <row r="95" spans="1:5" ht="60" x14ac:dyDescent="0.25">
      <c r="A95" t="s">
        <v>289</v>
      </c>
      <c r="B95" s="40" t="s">
        <v>502</v>
      </c>
      <c r="D95" t="s">
        <v>126</v>
      </c>
      <c r="E95" s="40" t="s">
        <v>577</v>
      </c>
    </row>
    <row r="96" spans="1:5" ht="60" x14ac:dyDescent="0.25">
      <c r="A96" t="s">
        <v>286</v>
      </c>
      <c r="B96" s="40" t="s">
        <v>505</v>
      </c>
      <c r="D96" t="s">
        <v>159</v>
      </c>
      <c r="E96" s="40" t="s">
        <v>403</v>
      </c>
    </row>
    <row r="97" spans="1:5" ht="60" x14ac:dyDescent="0.25">
      <c r="A97" t="s">
        <v>287</v>
      </c>
      <c r="B97" s="40" t="s">
        <v>504</v>
      </c>
      <c r="D97" t="s">
        <v>231</v>
      </c>
      <c r="E97" s="40" t="s">
        <v>450</v>
      </c>
    </row>
    <row r="98" spans="1:5" ht="30" x14ac:dyDescent="0.25">
      <c r="A98" t="s">
        <v>105</v>
      </c>
      <c r="B98" s="40" t="s">
        <v>563</v>
      </c>
      <c r="D98" t="s">
        <v>217</v>
      </c>
      <c r="E98" s="40" t="s">
        <v>463</v>
      </c>
    </row>
    <row r="99" spans="1:5" ht="30" x14ac:dyDescent="0.25">
      <c r="A99" t="s">
        <v>107</v>
      </c>
      <c r="B99" s="40" t="s">
        <v>564</v>
      </c>
      <c r="D99" t="s">
        <v>68</v>
      </c>
      <c r="E99" s="40" t="s">
        <v>335</v>
      </c>
    </row>
    <row r="100" spans="1:5" ht="90" x14ac:dyDescent="0.25">
      <c r="A100" t="s">
        <v>196</v>
      </c>
      <c r="B100" s="40" t="s">
        <v>592</v>
      </c>
      <c r="D100" t="s">
        <v>66</v>
      </c>
      <c r="E100" s="40" t="s">
        <v>337</v>
      </c>
    </row>
    <row r="101" spans="1:5" ht="45" x14ac:dyDescent="0.25">
      <c r="A101" t="s">
        <v>174</v>
      </c>
      <c r="B101" s="40" t="s">
        <v>386</v>
      </c>
      <c r="D101" t="s">
        <v>183</v>
      </c>
      <c r="E101" s="40" t="s">
        <v>434</v>
      </c>
    </row>
    <row r="102" spans="1:5" ht="30" x14ac:dyDescent="0.25">
      <c r="A102" t="s">
        <v>176</v>
      </c>
      <c r="B102" s="40" t="s">
        <v>440</v>
      </c>
      <c r="D102" t="s">
        <v>191</v>
      </c>
      <c r="E102" s="40" t="s">
        <v>428</v>
      </c>
    </row>
    <row r="103" spans="1:5" ht="45" x14ac:dyDescent="0.25">
      <c r="A103" t="s">
        <v>178</v>
      </c>
      <c r="B103" s="40" t="s">
        <v>438</v>
      </c>
      <c r="D103" t="s">
        <v>128</v>
      </c>
      <c r="E103" s="40" t="s">
        <v>377</v>
      </c>
    </row>
    <row r="104" spans="1:5" ht="30" x14ac:dyDescent="0.25">
      <c r="A104" t="s">
        <v>180</v>
      </c>
      <c r="B104" s="40" t="s">
        <v>436</v>
      </c>
      <c r="D104" t="s">
        <v>132</v>
      </c>
      <c r="E104" s="40" t="s">
        <v>583</v>
      </c>
    </row>
    <row r="105" spans="1:5" ht="60" x14ac:dyDescent="0.25">
      <c r="A105" t="s">
        <v>182</v>
      </c>
      <c r="B105" s="40" t="s">
        <v>435</v>
      </c>
      <c r="D105" t="s">
        <v>138</v>
      </c>
      <c r="E105" s="40" t="s">
        <v>370</v>
      </c>
    </row>
    <row r="106" spans="1:5" ht="45" x14ac:dyDescent="0.25">
      <c r="A106" t="s">
        <v>184</v>
      </c>
      <c r="B106" s="40" t="s">
        <v>433</v>
      </c>
      <c r="D106" t="s">
        <v>136</v>
      </c>
      <c r="E106" s="40" t="s">
        <v>371</v>
      </c>
    </row>
    <row r="107" spans="1:5" ht="45" x14ac:dyDescent="0.25">
      <c r="A107" t="s">
        <v>192</v>
      </c>
      <c r="B107" s="40" t="s">
        <v>427</v>
      </c>
      <c r="D107" t="s">
        <v>142</v>
      </c>
      <c r="E107" s="40" t="s">
        <v>591</v>
      </c>
    </row>
    <row r="108" spans="1:5" ht="45" x14ac:dyDescent="0.25">
      <c r="A108" t="s">
        <v>244</v>
      </c>
      <c r="B108" s="40" t="s">
        <v>493</v>
      </c>
      <c r="D108" t="s">
        <v>140</v>
      </c>
      <c r="E108" s="40" t="s">
        <v>590</v>
      </c>
    </row>
    <row r="109" spans="1:5" ht="75" x14ac:dyDescent="0.25">
      <c r="A109" t="s">
        <v>242</v>
      </c>
      <c r="B109" s="40" t="s">
        <v>495</v>
      </c>
      <c r="D109" t="s">
        <v>130</v>
      </c>
      <c r="E109" s="40" t="s">
        <v>375</v>
      </c>
    </row>
    <row r="110" spans="1:5" ht="45" x14ac:dyDescent="0.25">
      <c r="A110" t="s">
        <v>240</v>
      </c>
      <c r="B110" s="40" t="s">
        <v>497</v>
      </c>
      <c r="D110" t="s">
        <v>118</v>
      </c>
      <c r="E110" s="40" t="s">
        <v>385</v>
      </c>
    </row>
    <row r="111" spans="1:5" ht="60" x14ac:dyDescent="0.25">
      <c r="A111" t="s">
        <v>39</v>
      </c>
      <c r="B111" s="40" t="s">
        <v>315</v>
      </c>
      <c r="D111" t="s">
        <v>573</v>
      </c>
      <c r="E111" s="40" t="s">
        <v>379</v>
      </c>
    </row>
    <row r="112" spans="1:5" ht="60" x14ac:dyDescent="0.25">
      <c r="A112" t="s">
        <v>29</v>
      </c>
      <c r="B112" s="40" t="s">
        <v>572</v>
      </c>
      <c r="D112" t="s">
        <v>120</v>
      </c>
      <c r="E112" s="40" t="s">
        <v>383</v>
      </c>
    </row>
    <row r="113" spans="1:5" ht="45" x14ac:dyDescent="0.25">
      <c r="A113" t="s">
        <v>147</v>
      </c>
      <c r="B113" s="40" t="s">
        <v>584</v>
      </c>
      <c r="D113" t="s">
        <v>124</v>
      </c>
      <c r="E113" s="40" t="s">
        <v>379</v>
      </c>
    </row>
    <row r="114" spans="1:5" ht="45" x14ac:dyDescent="0.25">
      <c r="A114" t="s">
        <v>220</v>
      </c>
      <c r="B114" s="40" t="s">
        <v>459</v>
      </c>
      <c r="D114" t="s">
        <v>163</v>
      </c>
      <c r="E114" s="40" t="s">
        <v>399</v>
      </c>
    </row>
    <row r="115" spans="1:5" ht="60" x14ac:dyDescent="0.25">
      <c r="A115" t="s">
        <v>218</v>
      </c>
      <c r="B115" s="40" t="s">
        <v>461</v>
      </c>
      <c r="D115" t="s">
        <v>167</v>
      </c>
      <c r="E115" s="40" t="s">
        <v>395</v>
      </c>
    </row>
    <row r="116" spans="1:5" ht="30" x14ac:dyDescent="0.25">
      <c r="A116" t="s">
        <v>149</v>
      </c>
      <c r="B116" s="40" t="s">
        <v>589</v>
      </c>
      <c r="D116" t="s">
        <v>549</v>
      </c>
      <c r="E116" s="40" t="s">
        <v>550</v>
      </c>
    </row>
    <row r="117" spans="1:5" ht="60" x14ac:dyDescent="0.25">
      <c r="A117" t="s">
        <v>204</v>
      </c>
      <c r="B117" s="40" t="s">
        <v>417</v>
      </c>
      <c r="D117" t="s">
        <v>542</v>
      </c>
      <c r="E117" s="40" t="s">
        <v>317</v>
      </c>
    </row>
    <row r="118" spans="1:5" ht="30" x14ac:dyDescent="0.25">
      <c r="A118" t="s">
        <v>208</v>
      </c>
      <c r="B118" s="40" t="s">
        <v>469</v>
      </c>
      <c r="D118" t="s">
        <v>594</v>
      </c>
      <c r="E118" s="40" t="s">
        <v>595</v>
      </c>
    </row>
    <row r="119" spans="1:5" ht="30" x14ac:dyDescent="0.25">
      <c r="A119" t="s">
        <v>200</v>
      </c>
      <c r="B119" s="40" t="s">
        <v>593</v>
      </c>
      <c r="D119" t="s">
        <v>98</v>
      </c>
      <c r="E119" s="40" t="s">
        <v>361</v>
      </c>
    </row>
    <row r="120" spans="1:5" ht="30" x14ac:dyDescent="0.25">
      <c r="A120" t="s">
        <v>202</v>
      </c>
      <c r="B120" s="40" t="s">
        <v>419</v>
      </c>
      <c r="D120" t="s">
        <v>245</v>
      </c>
      <c r="E120" s="40" t="s">
        <v>494</v>
      </c>
    </row>
    <row r="121" spans="1:5" ht="30" x14ac:dyDescent="0.25">
      <c r="A121" t="s">
        <v>206</v>
      </c>
      <c r="B121" s="40" t="s">
        <v>416</v>
      </c>
      <c r="D121" t="s">
        <v>604</v>
      </c>
      <c r="E121" s="40" t="s">
        <v>605</v>
      </c>
    </row>
    <row r="122" spans="1:5" ht="45" x14ac:dyDescent="0.25">
      <c r="A122" t="s">
        <v>198</v>
      </c>
      <c r="B122" s="40" t="s">
        <v>422</v>
      </c>
      <c r="D122" t="s">
        <v>249</v>
      </c>
      <c r="E122" s="40" t="s">
        <v>605</v>
      </c>
    </row>
    <row r="123" spans="1:5" ht="90" x14ac:dyDescent="0.25">
      <c r="A123" t="s">
        <v>188</v>
      </c>
      <c r="B123" s="40" t="s">
        <v>430</v>
      </c>
      <c r="D123" t="s">
        <v>171</v>
      </c>
      <c r="E123" s="40" t="s">
        <v>391</v>
      </c>
    </row>
    <row r="124" spans="1:5" ht="75" x14ac:dyDescent="0.25">
      <c r="A124" t="s">
        <v>533</v>
      </c>
      <c r="B124" s="40" t="s">
        <v>534</v>
      </c>
      <c r="D124" t="s">
        <v>110</v>
      </c>
      <c r="E124" s="40" t="s">
        <v>567</v>
      </c>
    </row>
    <row r="125" spans="1:5" ht="45" x14ac:dyDescent="0.25">
      <c r="A125" t="s">
        <v>543</v>
      </c>
      <c r="B125" s="40" t="s">
        <v>544</v>
      </c>
      <c r="D125" t="s">
        <v>195</v>
      </c>
      <c r="E125" s="40" t="s">
        <v>426</v>
      </c>
    </row>
    <row r="126" spans="1:5" ht="30" x14ac:dyDescent="0.25">
      <c r="A126" t="s">
        <v>602</v>
      </c>
      <c r="B126" s="40" t="s">
        <v>603</v>
      </c>
      <c r="D126" t="s">
        <v>44</v>
      </c>
      <c r="E126" s="40" t="s">
        <v>550</v>
      </c>
    </row>
    <row r="127" spans="1:5" ht="45" x14ac:dyDescent="0.25">
      <c r="A127" t="s">
        <v>168</v>
      </c>
      <c r="B127" s="40" t="s">
        <v>392</v>
      </c>
      <c r="D127" t="s">
        <v>199</v>
      </c>
      <c r="E127" s="40" t="s">
        <v>423</v>
      </c>
    </row>
    <row r="128" spans="1:5" ht="30" x14ac:dyDescent="0.25">
      <c r="A128" t="s">
        <v>164</v>
      </c>
      <c r="B128" s="40" t="s">
        <v>396</v>
      </c>
      <c r="D128" t="s">
        <v>225</v>
      </c>
      <c r="E128" s="40" t="s">
        <v>456</v>
      </c>
    </row>
    <row r="129" spans="1:5" ht="45" x14ac:dyDescent="0.25">
      <c r="A129" t="s">
        <v>152</v>
      </c>
      <c r="B129" s="40" t="s">
        <v>408</v>
      </c>
      <c r="D129" t="s">
        <v>215</v>
      </c>
      <c r="E129" s="40" t="s">
        <v>465</v>
      </c>
    </row>
    <row r="130" spans="1:5" ht="45" x14ac:dyDescent="0.25">
      <c r="A130" t="s">
        <v>150</v>
      </c>
      <c r="B130" s="40" t="s">
        <v>410</v>
      </c>
      <c r="D130" t="s">
        <v>600</v>
      </c>
      <c r="E130" s="40" t="s">
        <v>601</v>
      </c>
    </row>
    <row r="131" spans="1:5" ht="45" x14ac:dyDescent="0.25">
      <c r="A131" t="s">
        <v>170</v>
      </c>
      <c r="B131" s="40" t="s">
        <v>390</v>
      </c>
      <c r="D131" t="s">
        <v>219</v>
      </c>
      <c r="E131" s="40" t="s">
        <v>601</v>
      </c>
    </row>
    <row r="132" spans="1:5" ht="60" x14ac:dyDescent="0.25">
      <c r="A132" t="s">
        <v>154</v>
      </c>
      <c r="B132" s="40" t="s">
        <v>406</v>
      </c>
      <c r="D132" t="s">
        <v>211</v>
      </c>
      <c r="E132" s="40" t="s">
        <v>468</v>
      </c>
    </row>
    <row r="133" spans="1:5" ht="45" x14ac:dyDescent="0.25">
      <c r="A133" t="s">
        <v>166</v>
      </c>
      <c r="B133" s="40" t="s">
        <v>394</v>
      </c>
      <c r="D133" t="s">
        <v>221</v>
      </c>
      <c r="E133" s="40" t="s">
        <v>460</v>
      </c>
    </row>
    <row r="134" spans="1:5" ht="45" x14ac:dyDescent="0.25">
      <c r="A134" t="s">
        <v>156</v>
      </c>
      <c r="B134" s="40" t="s">
        <v>404</v>
      </c>
      <c r="D134" t="s">
        <v>598</v>
      </c>
      <c r="E134" s="40" t="s">
        <v>599</v>
      </c>
    </row>
    <row r="135" spans="1:5" ht="45" x14ac:dyDescent="0.25">
      <c r="A135" t="s">
        <v>158</v>
      </c>
      <c r="B135" s="40" t="s">
        <v>402</v>
      </c>
      <c r="D135" t="s">
        <v>213</v>
      </c>
      <c r="E135" s="40" t="s">
        <v>599</v>
      </c>
    </row>
    <row r="136" spans="1:5" ht="45" x14ac:dyDescent="0.25">
      <c r="A136" t="s">
        <v>160</v>
      </c>
      <c r="B136" s="40" t="s">
        <v>400</v>
      </c>
      <c r="D136" t="s">
        <v>223</v>
      </c>
      <c r="E136" s="40" t="s">
        <v>458</v>
      </c>
    </row>
    <row r="137" spans="1:5" ht="30" x14ac:dyDescent="0.25">
      <c r="A137" t="s">
        <v>162</v>
      </c>
      <c r="B137" s="40" t="s">
        <v>398</v>
      </c>
      <c r="D137" t="s">
        <v>189</v>
      </c>
      <c r="E137" s="40" t="s">
        <v>431</v>
      </c>
    </row>
    <row r="138" spans="1:5" ht="30" x14ac:dyDescent="0.25">
      <c r="A138" t="s">
        <v>256</v>
      </c>
      <c r="B138" s="40" t="s">
        <v>482</v>
      </c>
      <c r="D138" t="s">
        <v>201</v>
      </c>
      <c r="E138" s="40" t="s">
        <v>421</v>
      </c>
    </row>
    <row r="139" spans="1:5" ht="45" x14ac:dyDescent="0.25">
      <c r="A139" t="s">
        <v>250</v>
      </c>
      <c r="B139" s="40" t="s">
        <v>488</v>
      </c>
      <c r="D139" t="s">
        <v>108</v>
      </c>
      <c r="E139" s="40" t="s">
        <v>353</v>
      </c>
    </row>
    <row r="140" spans="1:5" ht="45" x14ac:dyDescent="0.25">
      <c r="A140" t="s">
        <v>248</v>
      </c>
      <c r="B140" s="40" t="s">
        <v>490</v>
      </c>
      <c r="D140" t="s">
        <v>229</v>
      </c>
      <c r="E140" s="40" t="s">
        <v>452</v>
      </c>
    </row>
    <row r="141" spans="1:5" ht="60" x14ac:dyDescent="0.25">
      <c r="A141" t="s">
        <v>252</v>
      </c>
      <c r="B141" s="40" t="s">
        <v>486</v>
      </c>
      <c r="D141" t="s">
        <v>187</v>
      </c>
      <c r="E141" s="40" t="s">
        <v>431</v>
      </c>
    </row>
    <row r="142" spans="1:5" ht="75" x14ac:dyDescent="0.25">
      <c r="A142" t="s">
        <v>254</v>
      </c>
      <c r="B142" s="40" t="s">
        <v>484</v>
      </c>
      <c r="D142" t="s">
        <v>247</v>
      </c>
      <c r="E142" s="40" t="s">
        <v>492</v>
      </c>
    </row>
    <row r="143" spans="1:5" ht="60" x14ac:dyDescent="0.25">
      <c r="A143" t="s">
        <v>53</v>
      </c>
      <c r="B143" s="40" t="s">
        <v>304</v>
      </c>
      <c r="D143" t="s">
        <v>531</v>
      </c>
      <c r="E143" s="40" t="s">
        <v>532</v>
      </c>
    </row>
    <row r="144" spans="1:5" ht="90" x14ac:dyDescent="0.25">
      <c r="A144" t="s">
        <v>27</v>
      </c>
      <c r="B144" s="40" t="s">
        <v>548</v>
      </c>
      <c r="D144" t="s">
        <v>253</v>
      </c>
      <c r="E144" s="40" t="s">
        <v>487</v>
      </c>
    </row>
    <row r="145" spans="1:5" x14ac:dyDescent="0.25">
      <c r="A145" t="s">
        <v>48</v>
      </c>
      <c r="B145" s="40" t="s">
        <v>309</v>
      </c>
      <c r="D145" t="s">
        <v>251</v>
      </c>
      <c r="E145" s="40" t="s">
        <v>489</v>
      </c>
    </row>
    <row r="146" spans="1:5" ht="45" x14ac:dyDescent="0.25">
      <c r="A146" t="s">
        <v>585</v>
      </c>
      <c r="B146" s="40" t="s">
        <v>586</v>
      </c>
      <c r="D146" t="s">
        <v>42</v>
      </c>
      <c r="E146" s="40" t="s">
        <v>547</v>
      </c>
    </row>
    <row r="147" spans="1:5" ht="30" x14ac:dyDescent="0.25">
      <c r="A147" t="s">
        <v>587</v>
      </c>
      <c r="B147" s="40" t="s">
        <v>588</v>
      </c>
      <c r="D147" t="s">
        <v>19</v>
      </c>
      <c r="E147" s="40" t="s">
        <v>532</v>
      </c>
    </row>
    <row r="148" spans="1:5" ht="45" x14ac:dyDescent="0.25">
      <c r="A148" t="s">
        <v>127</v>
      </c>
      <c r="B148" s="40" t="s">
        <v>570</v>
      </c>
      <c r="D148" t="s">
        <v>18</v>
      </c>
      <c r="E148" s="40" t="s">
        <v>317</v>
      </c>
    </row>
    <row r="149" spans="1:5" ht="30" x14ac:dyDescent="0.25">
      <c r="A149" t="s">
        <v>232</v>
      </c>
      <c r="B149" s="40" t="s">
        <v>447</v>
      </c>
      <c r="D149" t="s">
        <v>207</v>
      </c>
      <c r="E149" s="40" t="s">
        <v>595</v>
      </c>
    </row>
    <row r="150" spans="1:5" x14ac:dyDescent="0.25">
      <c r="A150" t="s">
        <v>613</v>
      </c>
      <c r="B150" s="40" t="s">
        <v>614</v>
      </c>
    </row>
    <row r="151" spans="1:5" ht="30" x14ac:dyDescent="0.25">
      <c r="A151" t="s">
        <v>36</v>
      </c>
      <c r="B151" s="40" t="s">
        <v>541</v>
      </c>
    </row>
    <row r="152" spans="1:5" x14ac:dyDescent="0.25">
      <c r="A152" t="s">
        <v>615</v>
      </c>
      <c r="B152" s="40" t="s">
        <v>616</v>
      </c>
    </row>
    <row r="153" spans="1:5" ht="30" x14ac:dyDescent="0.25">
      <c r="A153" t="s">
        <v>258</v>
      </c>
      <c r="B153" s="40" t="s">
        <v>480</v>
      </c>
    </row>
    <row r="154" spans="1:5" x14ac:dyDescent="0.25">
      <c r="A154" t="s">
        <v>260</v>
      </c>
      <c r="B154" s="40" t="s">
        <v>478</v>
      </c>
    </row>
    <row r="155" spans="1:5" ht="30" x14ac:dyDescent="0.25">
      <c r="A155" t="s">
        <v>262</v>
      </c>
      <c r="B155" s="40" t="s">
        <v>476</v>
      </c>
    </row>
    <row r="156" spans="1:5" ht="30" x14ac:dyDescent="0.25">
      <c r="A156" t="s">
        <v>529</v>
      </c>
      <c r="B156" s="40" t="s">
        <v>530</v>
      </c>
    </row>
    <row r="157" spans="1:5" ht="75" x14ac:dyDescent="0.25">
      <c r="A157" t="s">
        <v>32</v>
      </c>
      <c r="B157" s="40" t="s">
        <v>534</v>
      </c>
    </row>
    <row r="158" spans="1:5" ht="45" x14ac:dyDescent="0.25">
      <c r="A158" t="s">
        <v>37</v>
      </c>
      <c r="B158" s="40" t="s">
        <v>544</v>
      </c>
    </row>
    <row r="159" spans="1:5" x14ac:dyDescent="0.25">
      <c r="A159" t="s">
        <v>298</v>
      </c>
      <c r="B159" s="40" t="s">
        <v>614</v>
      </c>
    </row>
    <row r="160" spans="1:5" x14ac:dyDescent="0.25">
      <c r="A160" t="s">
        <v>299</v>
      </c>
      <c r="B160" s="40" t="s">
        <v>616</v>
      </c>
    </row>
    <row r="161" spans="1:2" ht="30" x14ac:dyDescent="0.25">
      <c r="A161" t="s">
        <v>31</v>
      </c>
      <c r="B161" s="40" t="s">
        <v>530</v>
      </c>
    </row>
    <row r="162" spans="1:2" ht="30" x14ac:dyDescent="0.25">
      <c r="A162" t="s">
        <v>236</v>
      </c>
      <c r="B162" s="40" t="s">
        <v>603</v>
      </c>
    </row>
    <row r="163" spans="1:2" ht="30" x14ac:dyDescent="0.25">
      <c r="A163" t="s">
        <v>282</v>
      </c>
      <c r="B163" s="40" t="s">
        <v>611</v>
      </c>
    </row>
    <row r="164" spans="1:2" ht="30" x14ac:dyDescent="0.25">
      <c r="A164" t="s">
        <v>278</v>
      </c>
      <c r="B164" s="40" t="s">
        <v>609</v>
      </c>
    </row>
    <row r="165" spans="1:2" x14ac:dyDescent="0.25">
      <c r="A165" t="s">
        <v>293</v>
      </c>
      <c r="B165" s="40" t="s">
        <v>522</v>
      </c>
    </row>
    <row r="166" spans="1:2" x14ac:dyDescent="0.25">
      <c r="A166" t="s">
        <v>294</v>
      </c>
      <c r="B166" s="40" t="s">
        <v>521</v>
      </c>
    </row>
  </sheetData>
  <sortState ref="A3:B154">
    <sortCondition ref="A3:A154"/>
  </sortState>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Simple Query</vt:lpstr>
      <vt:lpstr>Generic Query</vt:lpstr>
      <vt:lpstr>Metadata</vt:lpstr>
      <vt:lpstr>query</vt:lpstr>
      <vt:lpstr>query2</vt:lpstr>
      <vt:lpstr>token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LSheet</dc:title>
  <dc:creator>Orb</dc:creator>
  <cp:keywords>VBA Loganis API</cp:keywords>
  <cp:lastModifiedBy>orb</cp:lastModifiedBy>
  <cp:lastPrinted>2014-04-05T16:52:35Z</cp:lastPrinted>
  <dcterms:created xsi:type="dcterms:W3CDTF">2013-09-30T12:59:18Z</dcterms:created>
  <dcterms:modified xsi:type="dcterms:W3CDTF">2014-05-18T17:54:01Z</dcterms:modified>
  <cp:category>Webanalytics, data</cp:category>
</cp:coreProperties>
</file>