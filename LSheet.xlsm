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rb\Documents\LoganisGit\LSheet\"/>
    </mc:Choice>
  </mc:AlternateContent>
  <bookViews>
    <workbookView xWindow="0" yWindow="0" windowWidth="20490" windowHeight="7755"/>
  </bookViews>
  <sheets>
    <sheet name="Simple Query" sheetId="1" r:id="rId1"/>
    <sheet name="Generic Query" sheetId="3" r:id="rId2"/>
    <sheet name="Metadata" sheetId="2" r:id="rId3"/>
  </sheets>
  <functionGroups builtInGroupCount="18"/>
  <definedNames>
    <definedName name="_xlnm._FilterDatabase" localSheetId="1" hidden="1">'Generic Query'!$F$3:$I$11</definedName>
    <definedName name="_xlnm._FilterDatabase" localSheetId="2" hidden="1">Metadata!$D$3:$E$133</definedName>
    <definedName name="_xlnm._FilterDatabase" localSheetId="0" hidden="1">'Simple Query'!$B$2:$E$71</definedName>
    <definedName name="query" localSheetId="1">'Generic Query'!#REF!</definedName>
    <definedName name="query">'Simple Query'!$L$20</definedName>
    <definedName name="query2">'Generic Query'!$C$3</definedName>
    <definedName name="token" localSheetId="1">'Generic Query'!#REF!</definedName>
    <definedName name="token">'Simple Query'!$L$18</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7" i="1"/>
  <c r="J8" i="1" l="1"/>
  <c r="J7" i="1" l="1"/>
  <c r="J13" i="1" l="1"/>
  <c r="L14" i="1" s="1"/>
  <c r="R5" i="1"/>
  <c r="R6" i="1" s="1"/>
  <c r="R3" i="1" l="1"/>
  <c r="R4" i="1" s="1"/>
  <c r="L20" i="1"/>
</calcChain>
</file>

<file path=xl/sharedStrings.xml><?xml version="1.0" encoding="utf-8"?>
<sst xmlns="http://schemas.openxmlformats.org/spreadsheetml/2006/main" count="689" uniqueCount="633">
  <si>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</si>
  <si>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</si>
  <si>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</si>
  <si>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</si>
  <si>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</si>
  <si>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</si>
  <si>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</si>
  <si>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</si>
  <si>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</si>
  <si>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</si>
  <si>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</si>
  <si>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</si>
  <si>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</si>
  <si>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</si>
  <si>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</si>
  <si>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</si>
  <si>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</si>
  <si>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</si>
  <si>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</si>
  <si>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</si>
  <si>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</si>
  <si>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</si>
  <si>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</si>
  <si>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</si>
  <si>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</si>
  <si>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</si>
  <si>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</si>
  <si>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</si>
  <si>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</si>
  <si>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</si>
  <si>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</si>
  <si>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</si>
  <si>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</si>
  <si>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</si>
  <si>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</si>
  <si>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</si>
  <si>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</si>
  <si>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</si>
  <si>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</si>
  <si>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</si>
  <si>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</si>
  <si>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</si>
  <si>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</si>
  <si>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</si>
  <si>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</si>
  <si>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</si>
  <si>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</si>
  <si>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</si>
  <si>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</si>
  <si>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</si>
  <si>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</si>
  <si>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</si>
  <si>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</si>
  <si>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</si>
  <si>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</si>
  <si>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</si>
  <si>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</si>
  <si>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</si>
  <si>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</si>
  <si>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</si>
  <si>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</si>
  <si>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</si>
  <si>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</si>
  <si>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</si>
  <si>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</si>
  <si>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</si>
  <si>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</si>
  <si>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</si>
  <si>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</si>
  <si>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</si>
  <si>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</si>
  <si>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</si>
  <si>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</si>
  <si>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</si>
  <si>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</si>
  <si>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</si>
  <si>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</si>
  <si>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</si>
  <si>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</si>
  <si>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</si>
  <si>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</si>
  <si>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</si>
  <si>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</si>
  <si>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</si>
  <si>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</si>
  <si>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</si>
  <si>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</si>
  <si>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</si>
  <si>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</si>
  <si>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</si>
  <si>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</si>
  <si>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</si>
  <si>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</si>
  <si>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</si>
  <si>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</si>
  <si>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</si>
  <si>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</si>
  <si>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</si>
  <si>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</si>
  <si>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</si>
  <si>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</si>
  <si>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</si>
  <si>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</si>
  <si>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</si>
  <si>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</si>
  <si>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</si>
  <si>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</si>
  <si>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</si>
  <si>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</si>
  <si>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</si>
  <si>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</si>
  <si>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</si>
  <si>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</si>
  <si>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</si>
  <si>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</si>
  <si>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</si>
  <si>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</si>
  <si>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</si>
  <si>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</si>
  <si>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</si>
  <si>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</si>
  <si>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</si>
  <si>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</si>
  <si>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</si>
  <si>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</si>
  <si>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</si>
  <si>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</si>
  <si>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</si>
  <si>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</si>
  <si>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</si>
  <si>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</si>
  <si>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</si>
  <si>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</si>
  <si>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</si>
  <si>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</si>
  <si>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</si>
  <si>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</si>
  <si>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</si>
  <si>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</si>
  <si>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</si>
  <si>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</si>
  <si>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</si>
  <si>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</si>
  <si>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</si>
  <si>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</si>
  <si>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</si>
  <si>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</si>
  <si>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</si>
  <si>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</si>
  <si>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</si>
  <si>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</si>
  <si>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</si>
  <si>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</si>
  <si>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</si>
  <si>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</si>
  <si>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</si>
  <si>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</si>
  <si>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</si>
  <si>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</si>
  <si>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</si>
  <si>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</si>
  <si>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</si>
  <si>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</si>
  <si>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</si>
  <si>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</si>
  <si>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</si>
  <si>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</si>
  <si>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</si>
  <si>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</si>
  <si>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</si>
  <si>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</si>
  <si>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</si>
  <si>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</si>
  <si>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</si>
  <si>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</si>
  <si>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</si>
  <si>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</si>
  <si>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</si>
  <si>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</si>
  <si>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</si>
  <si>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</si>
  <si>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</si>
  <si>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</si>
  <si>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</si>
  <si>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</si>
  <si>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</si>
  <si>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</si>
  <si>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</si>
  <si>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</si>
  <si>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</si>
  <si>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</si>
  <si>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</si>
  <si>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</si>
  <si>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</si>
  <si>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</si>
  <si>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</si>
  <si>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</si>
  <si>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</si>
  <si>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</si>
  <si>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</si>
  <si>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</si>
  <si>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</si>
  <si>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</si>
  <si>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</si>
  <si>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</si>
  <si>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</si>
  <si>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</si>
  <si>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</si>
  <si>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</si>
  <si>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</si>
  <si>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</si>
  <si>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</si>
  <si>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</si>
  <si>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</si>
  <si>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</si>
  <si>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</si>
  <si>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</si>
  <si>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</si>
  <si>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</si>
  <si>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</si>
  <si>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</si>
  <si>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</si>
  <si>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</si>
  <si>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</si>
  <si>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</si>
  <si>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</si>
  <si>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</si>
  <si>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</si>
  <si>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</si>
  <si>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</si>
  <si>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</si>
  <si>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</si>
  <si>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</si>
  <si>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</si>
  <si>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</si>
  <si>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</si>
  <si>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</si>
  <si>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</si>
  <si>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</si>
  <si>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</si>
  <si>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</si>
  <si>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</si>
  <si>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</si>
  <si>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</si>
  <si>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</si>
  <si>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</si>
  <si>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</si>
  <si>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</si>
  <si>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</si>
  <si>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</si>
  <si>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</si>
  <si>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</si>
  <si>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</si>
  <si>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</si>
  <si>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</si>
  <si>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</si>
  <si>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</si>
  <si>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</si>
  <si>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</si>
  <si>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</si>
  <si>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</si>
  <si>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</si>
  <si>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</si>
  <si>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</si>
  <si>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</si>
  <si>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</si>
  <si>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</si>
  <si>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</si>
  <si>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</si>
  <si>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</si>
  <si>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</si>
  <si>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</si>
  <si>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</si>
  <si>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</si>
  <si>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</si>
  <si>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</si>
  <si>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</si>
  <si>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</si>
  <si>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</si>
  <si>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</si>
  <si>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</si>
  <si>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</si>
  <si>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</si>
  <si>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</si>
  <si>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</si>
  <si>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</si>
  <si>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</si>
  <si>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</si>
  <si>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</si>
  <si>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</si>
  <si>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</si>
  <si>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</si>
  <si>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</si>
  <si>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</si>
  <si>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</si>
  <si>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</si>
  <si>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</si>
  <si>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</si>
  <si>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</si>
  <si>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</si>
  <si>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</si>
  <si>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</si>
  <si>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</si>
  <si>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</si>
  <si>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</si>
  <si>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</si>
  <si>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</si>
  <si>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</si>
  <si>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</si>
  <si>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</si>
  <si>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</si>
  <si>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</si>
  <si>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</si>
  <si>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When using manual campaign tracking, the value of the utm_campaign campaign tracking parameter. When using AdWords autotagging, the name(s) of the online ad campaign that you use for your property. Otherwise the value (not set) is used.</t>
  </si>
  <si>
    <t>The full referring URL including the hostname and path.</t>
  </si>
  <si>
    <t>The path of the referring URL (e.g. document.referrer). If someone places a link to your property on their website, this element contains the path of the page that contains the referring link.</t>
  </si>
  <si>
    <t>The total number of single page (or single engagement hit) sessions for your property.</t>
  </si>
  <si>
    <t>Counts the total number of sessions.</t>
  </si>
  <si>
    <t>A string. Corresponds to AdWords API AccountInfo.customerId.</t>
  </si>
  <si>
    <t>The URLs to which your AdWords ads referred traffic.</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</si>
  <si>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</si>
  <si>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</si>
  <si>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</si>
  <si>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</si>
  <si>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</si>
  <si>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</si>
  <si>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</si>
  <si>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</si>
  <si>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</si>
  <si>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</si>
  <si>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</si>
  <si>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</si>
  <si>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</si>
  <si>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</si>
  <si>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</si>
  <si>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</si>
  <si>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</si>
  <si>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</si>
  <si>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</si>
  <si>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</si>
  <si>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</si>
  <si>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</si>
  <si>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</si>
  <si>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</si>
  <si>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</si>
  <si>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</si>
  <si>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</si>
  <si>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</si>
  <si>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</si>
  <si>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</si>
  <si>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</si>
  <si>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</si>
  <si>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This dimension is deprecated and will be removed soon. Please use ga:deviceCategory instead (e.g., ga:deviceCategory==mobile).</t>
  </si>
  <si>
    <t>The number of different (unique) pages within a session. This takes into both the pagePath and pageTitle to determine uniqueness.</t>
  </si>
  <si>
    <t>The total number of pageviews for your property.</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</si>
  <si>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</si>
  <si>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</si>
  <si>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</si>
  <si>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</si>
  <si>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</si>
  <si>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</si>
  <si>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</si>
  <si>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</si>
  <si>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</si>
  <si>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</si>
  <si>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</si>
  <si>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</si>
  <si>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A string. Corresponds to AdWords API AdGroup.id.</t>
  </si>
  <si>
    <t>A string. Corresponds to AdWords API Campaign.id.</t>
  </si>
  <si>
    <t>The average goal value of a search on your property.</t>
  </si>
  <si>
    <t>The percentage of searches that resulted in an immediate exit from your property.</t>
  </si>
  <si>
    <t>The number of exits on your site that occurred following a search result from your internal search feature.</t>
  </si>
  <si>
    <t>The average amount of time people spent on your property after searching.</t>
  </si>
  <si>
    <t>The Designated Market Area (DMA) from where traffic arrived on your property.</t>
  </si>
  <si>
    <t>The percentage of number of times a refinement (i.e., transition) occurs between internal search keywords within a session.</t>
  </si>
  <si>
    <t>The total number of times a refinement (transition) occurs between internal search keywords within a session. For example if the sequence of keywords is: "shoes", "shoes", "pants", "pants", this metric will be one because the transition between "shoes" an</t>
  </si>
  <si>
    <t>The average number of pages people viewed after performing a search on your property.</t>
  </si>
  <si>
    <t>The average number of subsequent page views made on your property after a use of your internal search feature.</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</si>
  <si>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</si>
  <si>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</si>
  <si>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</si>
  <si>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</si>
  <si>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</si>
  <si>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</si>
  <si>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</si>
  <si>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</si>
  <si>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</si>
  <si>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</si>
  <si>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</si>
  <si>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</si>
  <si>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</si>
  <si>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</si>
  <si>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</si>
  <si>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</si>
  <si>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</si>
  <si>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</si>
  <si>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</si>
  <si>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</si>
  <si>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</si>
  <si>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</si>
  <si>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</si>
  <si>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</si>
  <si>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</si>
  <si>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</si>
  <si>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</si>
  <si>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</si>
  <si>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</si>
  <si>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</si>
  <si>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</si>
  <si>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</si>
  <si>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</si>
  <si>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</si>
  <si>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average amount of time (in seconds) it takes for pages from the sample set to load, from initiation of the pageview (e.g. click on a page link) to load completion in the browser.</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</si>
  <si>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</si>
  <si>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</si>
  <si>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</si>
  <si>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</si>
  <si>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</si>
  <si>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</si>
  <si>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</si>
  <si>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</si>
  <si>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</si>
  <si>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</si>
  <si>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</si>
  <si>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</si>
  <si>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</si>
  <si>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</si>
  <si>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</si>
  <si>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</si>
  <si>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</si>
  <si>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</si>
  <si>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</si>
  <si>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</si>
  <si>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</si>
  <si>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</si>
  <si>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</si>
  <si>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</si>
  <si>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</si>
  <si>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</si>
  <si>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</si>
  <si>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</si>
  <si>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</si>
  <si>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</si>
  <si>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</si>
  <si>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</si>
  <si>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</si>
  <si>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</si>
  <si>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</si>
  <si>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</si>
  <si>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</si>
  <si>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</si>
  <si>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</si>
  <si>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</si>
  <si>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</si>
  <si>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</si>
  <si>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</si>
  <si>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</si>
  <si>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</si>
  <si>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</si>
  <si>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</si>
  <si>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</si>
  <si>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</si>
  <si>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The ID of the application.</t>
  </si>
  <si>
    <t>The average revenue for an e-commerce transaction.</t>
  </si>
  <si>
    <t>The name of the application.</t>
  </si>
  <si>
    <t>The total sale revenue provided in the transaction excluding shipping and tax.</t>
  </si>
  <si>
    <t>The version of the application.</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</si>
  <si>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</si>
  <si>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</si>
  <si>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</si>
  <si>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name of the requested custom dimension, where XX refers the number/index of the custom dimension.</t>
  </si>
  <si>
    <t>The number of AdSense ads viewed. Multiple ads can be displayed within an Ad Unit.</t>
  </si>
  <si>
    <t>The number of AdSense ad units viewed. An Ad unit is a set of ads displayed as a result of one piece of the AdSense ad code. Details: https://support.google.com/adsense/answer/32715?hl=en</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</si>
  <si>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</si>
  <si>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</si>
  <si>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</si>
  <si>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</si>
  <si>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</si>
  <si>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</si>
  <si>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</si>
  <si>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</si>
  <si>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</si>
  <si>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</si>
  <si>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</si>
  <si>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</si>
  <si>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</si>
  <si>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</si>
  <si>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</si>
  <si>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</si>
  <si>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</si>
  <si>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</si>
  <si>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</si>
  <si>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</si>
  <si>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</si>
  <si>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</si>
  <si>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</si>
  <si>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</si>
  <si>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</si>
  <si>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</si>
  <si>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</si>
  <si>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</si>
  <si>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</si>
  <si>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</si>
  <si>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</si>
  <si>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</si>
  <si>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</si>
  <si>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</si>
  <si>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</si>
  <si>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</si>
  <si>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number of sessions that ended due to a user clicking on an AdSense ad.</t>
  </si>
  <si>
    <t>The estimated cost per thousand page impressions. It is your AdSense Revenue per 1000 page impressions.</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</si>
  <si>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</si>
  <si>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</si>
  <si>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</si>
  <si>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</si>
  <si>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</si>
  <si>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</si>
  <si>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</si>
  <si>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</si>
  <si>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Combined values of ga:isoYear and ga:isoWeek.</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</si>
  <si>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</si>
  <si>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</si>
  <si>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</si>
  <si>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</si>
  <si>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</si>
  <si>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</si>
  <si>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</si>
  <si>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ch0</t>
  </si>
  <si>
    <t>LSheet  © 2014 Loganis.com - iWebMa Limited</t>
  </si>
  <si>
    <t>ga:userType</t>
  </si>
  <si>
    <t>A boolean indicating if a user is new or returning. Possible values: New Visitor, Returning Visitor.</t>
  </si>
  <si>
    <t>ga:users</t>
  </si>
  <si>
    <t>Total number of users to your property for the requested time period.</t>
  </si>
  <si>
    <t>ga:sessionCount</t>
  </si>
  <si>
    <t>The session index for a user to your property. Each session from a unique user will get its own incremental index starting from 1 for the first session. Subsequent sessions do not change previous session indicies. For example, if a certain user has 4 sess</t>
  </si>
  <si>
    <t>ga:newUsers</t>
  </si>
  <si>
    <t>The number of users whose session on your property was marked as a first-time session.</t>
  </si>
  <si>
    <t>ga:daysSinceLastSession</t>
  </si>
  <si>
    <t>The number of days elapsed since users last visited your property. Used to calculate user loyalty.</t>
  </si>
  <si>
    <t>ga:percentNewSessions</t>
  </si>
  <si>
    <t>The percentage of sessions by people who had never visited your property before.</t>
  </si>
  <si>
    <t>The value provided when you define custom user segments for your property.</t>
  </si>
  <si>
    <t>ga:sessions</t>
  </si>
  <si>
    <t>ga:sessionDurationBucket</t>
  </si>
  <si>
    <t>The length of a session on your property measured in seconds and reported in second increments. The value returned is a string.</t>
  </si>
  <si>
    <t>This dimension is deprecated and will be removed soon. Please use ga:bounceRate instead.</t>
  </si>
  <si>
    <t>ga:bounceRate</t>
  </si>
  <si>
    <t>The percentage of single-page session (i.e., session in which the person left your property from the first page).</t>
  </si>
  <si>
    <t>The source of referrals to your property. When using manual campaign tracking, the value of the utm_source campaign tracking parameter. When using AdWords autotagging, the value is google. Otherwise the domain of the source referring the user to your prop</t>
  </si>
  <si>
    <t>ga:sessionDuration</t>
  </si>
  <si>
    <t>The total duration of user sessions represented in total seconds.</t>
  </si>
  <si>
    <t>ga:avgSessionDuration</t>
  </si>
  <si>
    <t>The average duration of user sessions represented in total seconds.</t>
  </si>
  <si>
    <t>When using manual campaign tracking, the value of the utm_term campaign tracking parameter. When using AdWords autotagging or if a user used organic search to reach your property, the keywords used by users to reach your property. Otherwise the value is (</t>
  </si>
  <si>
    <t>Indicates sessions that arrived to the property from a social source. The possible values are Yes or No where the first letter is capitalized.</t>
  </si>
  <si>
    <t>ga:goalValuePerSession</t>
  </si>
  <si>
    <t>The average goal value of a session on your property.</t>
  </si>
  <si>
    <t>The percentage of sessions which resulted in a conversion to the requested goal number.</t>
  </si>
  <si>
    <t>The percentage of sessions which resulted in a conversion to at least one of your goals.</t>
  </si>
  <si>
    <t>The number of times users started conversion activity on the requested goal number without actually completing it.</t>
  </si>
  <si>
    <t>The overall number of times users started goals without actually completing them.</t>
  </si>
  <si>
    <t>The names of browsers used by users to your website. For example, Internet Explorer or Firefox.</t>
  </si>
  <si>
    <t>The browser versions used by users to your website. For example, 2.0.0.14</t>
  </si>
  <si>
    <t>The operating system used by your users. For example, Windows, Linux , Macintosh, iPhone, iPod.</t>
  </si>
  <si>
    <t>The version of the operating system used by your users, such as XP for Windows or PPC for Macintosh.</t>
  </si>
  <si>
    <t>ga:pageviewsPerSession</t>
  </si>
  <si>
    <t>The average number of pages viewed during a session on your property. Repeated views of a single page are counted.</t>
  </si>
  <si>
    <t>How long a user spent on a particular page in seconds. Calculated by subtracting the initial view time for a particular page from the initial view time for a subsequent page. Thus, this metric does not apply to exit pages for your property.</t>
  </si>
  <si>
    <t>The average amount of time users spent viewing this page or a set of pages.</t>
  </si>
  <si>
    <t>The continents of property users, derived from IP addresses.</t>
  </si>
  <si>
    <t>The sub-continent of users, derived from IP addresses. For example, Polynesia or Northern Europe.</t>
  </si>
  <si>
    <t>The country of users, derived from IP addresses.</t>
  </si>
  <si>
    <t>The region of users to your property, derived from IP addresses. In the U.S., a region is a state, such as New York.</t>
  </si>
  <si>
    <t>ga:searchSessions</t>
  </si>
  <si>
    <t>The cities of property users, derived from IP addresses.</t>
  </si>
  <si>
    <t>The approximate latitude of the user's city. Derived from IP address. Locations north of the equator are represented by positive values and locations south of the equator by negative values.</t>
  </si>
  <si>
    <t>ga:percentSessionsWithSearch</t>
  </si>
  <si>
    <t>The percentage of sessions with search.</t>
  </si>
  <si>
    <t>The approximate longitude of the user's city. Derived from IP address. Locations east of the meridian are represented by positive values and locations west of the meridian by negative values.</t>
  </si>
  <si>
    <t>The domain name of the ISPs used by users to your property. This is derived from the domain name registered to the IP address.</t>
  </si>
  <si>
    <t>The name of service providers used to reach your property. For example, if most users to your website come via the major service providers for cable internet, you will see the names of those cable service providers in this element.</t>
  </si>
  <si>
    <t>The versions of Flash supported by users' browsers, including minor versions.</t>
  </si>
  <si>
    <t>Indicates Java support for users' browsers. The possible values are Yes or No where the first letter must be capitalized.</t>
  </si>
  <si>
    <t>The session duration on your property where a use of your internal search feature occurred.</t>
  </si>
  <si>
    <t>The color depth of users' monitors, as retrieved from the DOM of the user's browser. For example 4-bit, 8-bit, 24-bit, or undefined-bit.</t>
  </si>
  <si>
    <t>ga:sourcePropertyDisplayName</t>
  </si>
  <si>
    <t>Source property display name of roll-up properties. This is valid only for roll-up properties.</t>
  </si>
  <si>
    <t>ga:sourcePropertyTrackingId</t>
  </si>
  <si>
    <t>Source property tracking ID of roll-up properties. This is valid only for roll-up properties.</t>
  </si>
  <si>
    <t>The screen resolution of users' screens. For example: 1024x738.</t>
  </si>
  <si>
    <t>The percentage of search sessions (i.e., sessions that included at least one search) which resulted in a conversion to the requested goal number.</t>
  </si>
  <si>
    <t>The percentage of search sessions (i.e., sessions that included at least one search) which resulted in a conversion to at least one of your goals.</t>
  </si>
  <si>
    <t>The number of pages visited by users during a session. The value is a histogram that counts pageviews across a range of possible values. In this calculation, all sessions will have at least one pageview, and some percentage of sessions will have more.</t>
  </si>
  <si>
    <t>Search terms used by users within your property.</t>
  </si>
  <si>
    <t>ga:sessionsWithEvent</t>
  </si>
  <si>
    <t>The total number of sessions with events.</t>
  </si>
  <si>
    <t>ga:eventsPerSessionWithEvent</t>
  </si>
  <si>
    <t>The average number of events per session with event.</t>
  </si>
  <si>
    <t>ga:transactionsPerSession</t>
  </si>
  <si>
    <t>The average number of transactions for a session on your property.</t>
  </si>
  <si>
    <t>ga:transactionRevenuePerSession</t>
  </si>
  <si>
    <t>Average transaction revenue for a session on your property.</t>
  </si>
  <si>
    <t>ga:sessionsToTransaction</t>
  </si>
  <si>
    <t>The number of sessions between users' purchases and the related campaigns that lead to the purchases.</t>
  </si>
  <si>
    <t>ga:socialInteractionsPerSession</t>
  </si>
  <si>
    <t>The number of social interactions per session on your property.</t>
  </si>
  <si>
    <t>The user-scoped id of the content experiment that the user was exposed to when the metrics were reported.</t>
  </si>
  <si>
    <t>The user-scoped id of the particular variation that the user was exposed to during a content experiment.</t>
  </si>
  <si>
    <t>The date of the session formatted as YYYYMMDD.</t>
  </si>
  <si>
    <t>The year of the session. A four-digit year from 2005 to the current year.</t>
  </si>
  <si>
    <t>The month of the session. A two digit integer from 01 to 12.</t>
  </si>
  <si>
    <t>The week of the session. A two-digit number from 01 to 53. Each week starts on Sunday.</t>
  </si>
  <si>
    <t>The ISO year of the session. Details: http://en.wikipedia.org/wiki/ISO_week_date. ga:isoYear should only be used with ga:isoWeek since ga:week represents gregorian calendar.</t>
  </si>
  <si>
    <t>ga:userAgeBracket</t>
  </si>
  <si>
    <t>Age bracket of user.</t>
  </si>
  <si>
    <t>ga:userGender</t>
  </si>
  <si>
    <t>Gender of user.</t>
  </si>
  <si>
    <t>ga:isTrueViewVideoAd</t>
  </si>
  <si>
    <t>'Yes' or 'No' - Indicates whether the ad is an AdWords TrueView video ad.</t>
  </si>
  <si>
    <t>ga:nthHour</t>
  </si>
  <si>
    <t>Index for each hour in the specified date range. Index for the first hour of first day (i.e., start-date) in the date range is 0, 1 for the next hour, and so on.</t>
  </si>
  <si>
    <t>Loganis date dimension</t>
  </si>
  <si>
    <t>Europe</t>
  </si>
  <si>
    <t>Americas</t>
  </si>
  <si>
    <t>Asia</t>
  </si>
  <si>
    <t>Africa</t>
  </si>
  <si>
    <t>Oceania</t>
  </si>
  <si>
    <t>ch0:ga:sessions</t>
  </si>
  <si>
    <t>ch0:ga:visitbouncerate</t>
  </si>
  <si>
    <t>tablet</t>
  </si>
  <si>
    <t>mobile</t>
  </si>
  <si>
    <t>desktop</t>
  </si>
  <si>
    <t>{ :met "ch0:ga:sessions,ch0:ga:visitbouncerate" :dim "ga:continent,ga:deviceCategory" :beg "2014-04-11" :end "2014-05-06"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</si>
</sst>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8"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
      <u/>
      <sz val="11"/>
      <color theme="10"/>
      <name val="Corbel"/>
      <family val="2"/>
      <scheme val="minor"/>
    </font>
    <font>
      <sz val="18"/>
      <color rgb="FF000000"/>
      <name val="Corbel"/>
      <family val="2"/>
    </font>
    <font>
      <b/>
      <sz val="12"/>
      <color theme="1"/>
      <name val="Corbel"/>
      <family val="2"/>
      <scheme val="minor"/>
    </font>
  </fonts>
  <fills count="9">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
      <patternFill patternType="solid">
        <fgColor theme="8"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9">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xf numFmtId="0" fontId="15" fillId="0" borderId="0" applyNumberFormat="0" applyFill="0" applyBorder="0" applyAlignment="0" applyProtection="0"/>
  </cellStyleXfs>
  <cellXfs count="58">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15" fillId="0" borderId="0" xfId="8"/>
    <xf numFmtId="0" fontId="0" fillId="5" borderId="10" xfId="5" applyFont="1" applyAlignment="1">
      <alignment horizontal="center" vertical="center" wrapText="1"/>
    </xf>
    <xf numFmtId="0" fontId="7" fillId="3" borderId="13" xfId="2" applyBorder="1" applyAlignment="1">
      <alignment wrapText="1"/>
    </xf>
    <xf numFmtId="0" fontId="0" fillId="0" borderId="0" xfId="0" applyFont="1" applyFill="1" applyBorder="1"/>
    <xf numFmtId="0" fontId="0" fillId="0" borderId="4" xfId="0" applyFont="1" applyFill="1" applyBorder="1"/>
    <xf numFmtId="0" fontId="0" fillId="0" borderId="5" xfId="0" applyBorder="1"/>
    <xf numFmtId="0" fontId="0" fillId="0" borderId="4" xfId="0" applyFont="1" applyBorder="1"/>
    <xf numFmtId="0" fontId="0"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0" fontId="17" fillId="8" borderId="1" xfId="0" applyFont="1" applyFill="1" applyBorder="1"/>
    <xf numFmtId="0" fontId="17" fillId="8" borderId="2" xfId="0" applyFont="1" applyFill="1" applyBorder="1"/>
    <xf numFmtId="0" fontId="17" fillId="8" borderId="3" xfId="0" applyFont="1" applyFill="1" applyBorder="1"/>
  </cellXfs>
  <cellStyles count="9">
    <cellStyle name="Accent6" xfId="7" builtinId="49"/>
    <cellStyle name="Explanatory Text" xfId="6" builtinId="53"/>
    <cellStyle name="Good" xfId="1" builtinId="26"/>
    <cellStyle name="Hyperlink" xfId="8" builtinId="8"/>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ch0:ga:sessions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3"/>
                <c:pt idx="0">
                  <c:v>tablet</c:v>
                </c:pt>
                <c:pt idx="1">
                  <c:v>mobile</c:v>
                </c:pt>
                <c:pt idx="2">
                  <c:v>desktop</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4</c:v>
                </c:pt>
                <c:pt idx="1">
                  <c:v>92</c:v>
                </c:pt>
                <c:pt idx="2">
                  <c:v>332</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3</xdr:col>
          <xdr:colOff>819150</xdr:colOff>
          <xdr:row>2</xdr:row>
          <xdr:rowOff>123825</xdr:rowOff>
        </xdr:from>
        <xdr:to>
          <xdr:col>4</xdr:col>
          <xdr:colOff>971550</xdr:colOff>
          <xdr:row>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2994547</xdr:colOff>
      <xdr:row>6</xdr:row>
      <xdr:rowOff>45854</xdr:rowOff>
    </xdr:from>
    <xdr:to>
      <xdr:col>2</xdr:col>
      <xdr:colOff>4446927</xdr:colOff>
      <xdr:row>7</xdr:row>
      <xdr:rowOff>165300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66013" y="1392492"/>
          <a:ext cx="1452380" cy="305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238892</xdr:colOff>
          <xdr:row>1</xdr:row>
          <xdr:rowOff>189515</xdr:rowOff>
        </xdr:from>
        <xdr:to>
          <xdr:col>4</xdr:col>
          <xdr:colOff>95688</xdr:colOff>
          <xdr:row>8</xdr:row>
          <xdr:rowOff>37225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A2:E166" totalsRowShown="0" headerRowDxfId="3">
  <tableColumns count="5">
    <tableColumn id="1" name="Dimension"/>
    <tableColumn id="2" name="Dimension description" dataDxfId="2"/>
    <tableColumn id="5" name=" " dataDxfId="1"/>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oganis.com/" TargetMode="External"/><Relationship Id="rId7" Type="http://schemas.openxmlformats.org/officeDocument/2006/relationships/ctrlProp" Target="../ctrlProps/ctrlProp1.xml"/><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loganis.com/" TargetMode="External"/><Relationship Id="rId1" Type="http://schemas.openxmlformats.org/officeDocument/2006/relationships/hyperlink" Target="http://docs.loganis.com/"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R170"/>
  <sheetViews>
    <sheetView showGridLines="0" tabSelected="1" zoomScale="87" zoomScaleNormal="85" workbookViewId="0">
      <selection activeCell="L15" sqref="L15"/>
    </sheetView>
  </sheetViews>
  <sheetFormatPr defaultRowHeight="15" x14ac:dyDescent="0.25"/>
  <cols>
    <col min="2" max="2" width="21.75"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
        <v>123</v>
      </c>
      <c r="C2" s="25" t="s">
        <v>627</v>
      </c>
      <c r="D2" s="2"/>
      <c r="E2" s="2"/>
      <c r="L2" s="43" t="s">
        <v>528</v>
      </c>
      <c r="R2" t="s">
        <v>25</v>
      </c>
    </row>
    <row r="3" spans="1:18" ht="15.75" thickBot="1" x14ac:dyDescent="0.3">
      <c r="A3" s="5"/>
      <c r="B3" s="26" t="s">
        <v>629</v>
      </c>
      <c r="C3" s="27">
        <v>4</v>
      </c>
      <c r="D3" s="2"/>
      <c r="E3" s="2"/>
      <c r="L3" s="9"/>
      <c r="R3" t="str">
        <f ca="1">J4&amp;":"&amp;J5</f>
        <v>ch0:ga:sessions</v>
      </c>
    </row>
    <row r="4" spans="1:18" x14ac:dyDescent="0.25">
      <c r="A4" s="5"/>
      <c r="B4" s="26" t="s">
        <v>630</v>
      </c>
      <c r="C4" s="27">
        <v>92</v>
      </c>
      <c r="D4" s="2"/>
      <c r="E4" s="2"/>
      <c r="G4" s="19" t="s">
        <v>23</v>
      </c>
      <c r="H4" s="11" t="s">
        <v>24</v>
      </c>
      <c r="I4" s="11" t="s">
        <v>16</v>
      </c>
      <c r="J4" s="12" t="s">
        <v>527</v>
      </c>
      <c r="K4" s="7"/>
      <c r="L4" s="44" t="str">
        <f ca="1">VLOOKUP(J5,Metadata!D3:E149,2,FALSE)</f>
        <v>Counts the total number of sessions.</v>
      </c>
      <c r="R4" t="str">
        <f ca="1">"-"&amp;R3</f>
        <v>-ch0:ga:sessions</v>
      </c>
    </row>
    <row r="5" spans="1:18" x14ac:dyDescent="0.25">
      <c r="A5" s="5"/>
      <c r="B5" s="26" t="s">
        <v>631</v>
      </c>
      <c r="C5" s="27">
        <v>332</v>
      </c>
      <c r="D5" s="2"/>
      <c r="E5" s="2"/>
      <c r="G5" s="20" t="s">
        <v>0</v>
      </c>
      <c r="H5" s="13" t="s">
        <v>2</v>
      </c>
      <c r="I5" s="13" t="s">
        <v>16</v>
      </c>
      <c r="J5" s="14" t="s">
        <v>542</v>
      </c>
      <c r="L5" s="44"/>
      <c r="R5" t="str">
        <f ca="1">J6</f>
        <v>ga:deviceCategory</v>
      </c>
    </row>
    <row r="6" spans="1:18" x14ac:dyDescent="0.25">
      <c r="A6" s="5"/>
      <c r="B6" s="26"/>
      <c r="C6" s="27"/>
      <c r="D6" s="2"/>
      <c r="E6" s="2"/>
      <c r="G6" s="20" t="s">
        <v>1</v>
      </c>
      <c r="H6" s="13" t="s">
        <v>3</v>
      </c>
      <c r="I6" s="13" t="s">
        <v>16</v>
      </c>
      <c r="J6" s="14" t="s">
        <v>123</v>
      </c>
      <c r="K6" s="7"/>
      <c r="L6" s="10"/>
      <c r="R6" t="str">
        <f ca="1">"-"&amp;R5</f>
        <v>-ga:deviceCategory</v>
      </c>
    </row>
    <row r="7" spans="1:18" ht="15" customHeight="1" x14ac:dyDescent="0.25">
      <c r="A7" s="5"/>
      <c r="B7" s="26"/>
      <c r="C7" s="27"/>
      <c r="D7" s="2"/>
      <c r="E7" s="2"/>
      <c r="G7" s="20" t="s">
        <v>4</v>
      </c>
      <c r="H7" s="13" t="s">
        <v>6</v>
      </c>
      <c r="I7" s="13" t="s">
        <v>15</v>
      </c>
      <c r="J7" s="15">
        <f ca="1">TODAY()-28</f>
        <v>41740</v>
      </c>
      <c r="K7" s="4"/>
      <c r="L7" s="44" t="str">
        <f ca="1">VLOOKUP(J6,Metadata!A3:B166,2,FALSE)</f>
        <v>The type of device: desktop, tablet, or mobile.</v>
      </c>
      <c r="R7" t="s">
        <v>524</v>
      </c>
    </row>
    <row r="8" spans="1:18" x14ac:dyDescent="0.25">
      <c r="A8" s="5"/>
      <c r="B8" s="26"/>
      <c r="C8" s="27"/>
      <c r="D8" s="2"/>
      <c r="E8" s="2"/>
      <c r="G8" s="20" t="s">
        <v>5</v>
      </c>
      <c r="H8" s="13" t="s">
        <v>7</v>
      </c>
      <c r="I8" s="13" t="s">
        <v>15</v>
      </c>
      <c r="J8" s="15">
        <f ca="1">TODAY()-3</f>
        <v>41765</v>
      </c>
      <c r="K8" s="4"/>
      <c r="L8" s="44"/>
    </row>
    <row r="9" spans="1:18" x14ac:dyDescent="0.25">
      <c r="A9" s="5"/>
      <c r="B9" s="26"/>
      <c r="C9" s="27"/>
      <c r="D9" s="2"/>
      <c r="E9" s="2"/>
      <c r="G9" s="20" t="s">
        <v>10</v>
      </c>
      <c r="H9" s="13" t="s">
        <v>11</v>
      </c>
      <c r="I9" s="13" t="s">
        <v>17</v>
      </c>
      <c r="J9" s="16"/>
      <c r="K9" s="4"/>
    </row>
    <row r="10" spans="1:18" ht="15.75" thickBot="1" x14ac:dyDescent="0.3">
      <c r="A10" s="5"/>
      <c r="B10" s="26"/>
      <c r="C10" s="27"/>
      <c r="D10" s="2"/>
      <c r="E10" s="2"/>
      <c r="G10" s="21" t="s">
        <v>12</v>
      </c>
      <c r="H10" s="17" t="s">
        <v>13</v>
      </c>
      <c r="I10" s="17" t="s">
        <v>16</v>
      </c>
      <c r="J10" s="18" t="s">
        <v>627</v>
      </c>
      <c r="K10" s="4"/>
    </row>
    <row r="11" spans="1:18" x14ac:dyDescent="0.25">
      <c r="A11" s="5"/>
      <c r="B11" s="26"/>
      <c r="C11" s="27"/>
      <c r="D11" s="2"/>
      <c r="E11" s="2"/>
      <c r="G11" s="8"/>
      <c r="H11" s="3"/>
      <c r="I11" s="3"/>
      <c r="J11" s="6"/>
      <c r="K11" s="4"/>
    </row>
    <row r="12" spans="1:18" x14ac:dyDescent="0.25">
      <c r="A12" s="5"/>
      <c r="B12" s="26"/>
      <c r="C12" s="27"/>
      <c r="D12" s="2"/>
      <c r="E12" s="2"/>
      <c r="G12" s="8"/>
      <c r="H12" s="3"/>
      <c r="I12" s="3"/>
      <c r="J12" s="6"/>
      <c r="K12" s="4"/>
    </row>
    <row r="13" spans="1:18" ht="15" customHeight="1" x14ac:dyDescent="0.25">
      <c r="A13" s="5"/>
      <c r="B13" s="26"/>
      <c r="C13" s="27"/>
      <c r="D13" s="2"/>
      <c r="E13" s="2"/>
      <c r="J13" s="37" t="str">
        <f ca="1">IF(L18="", "To download your web data please obtain a token from","")</f>
        <v/>
      </c>
      <c r="K13" s="36"/>
      <c r="L13" s="36"/>
    </row>
    <row r="14" spans="1:18" ht="15" customHeight="1" x14ac:dyDescent="0.25">
      <c r="A14" s="5"/>
      <c r="B14" s="26"/>
      <c r="C14" s="27"/>
      <c r="D14" s="2"/>
      <c r="E14" s="2"/>
      <c r="J14" s="36"/>
      <c r="K14" s="36"/>
      <c r="L14" s="38" t="str">
        <f ca="1">IF(J13&lt;&gt;"", "https://ldash.loganis.com","")</f>
        <v/>
      </c>
    </row>
    <row r="15" spans="1:18" x14ac:dyDescent="0.25">
      <c r="A15" s="5"/>
      <c r="B15" s="26"/>
      <c r="C15" s="27"/>
      <c r="D15" s="2"/>
      <c r="E15" s="2"/>
      <c r="K15" s="3"/>
    </row>
    <row r="16" spans="1:18" x14ac:dyDescent="0.25">
      <c r="A16" s="5"/>
      <c r="B16" s="26"/>
      <c r="C16" s="27"/>
      <c r="D16" s="2"/>
      <c r="E16" s="2"/>
    </row>
    <row r="17" spans="1:12" ht="15.75" thickBot="1" x14ac:dyDescent="0.3">
      <c r="A17" s="5"/>
      <c r="B17" s="26"/>
      <c r="C17" s="27"/>
      <c r="D17" s="2"/>
      <c r="E17" s="2"/>
    </row>
    <row r="18" spans="1:12" ht="15.75" thickBot="1" x14ac:dyDescent="0.3">
      <c r="A18" s="5"/>
      <c r="B18" s="26"/>
      <c r="C18" s="27"/>
      <c r="D18" s="2"/>
      <c r="E18" s="2"/>
      <c r="J18" s="22" t="s">
        <v>8</v>
      </c>
      <c r="K18" s="35"/>
      <c r="L18" s="23"/>
    </row>
    <row r="19" spans="1:12" x14ac:dyDescent="0.25">
      <c r="A19" s="5"/>
      <c r="B19" s="26"/>
      <c r="C19" s="27"/>
      <c r="D19" s="2"/>
      <c r="E19" s="2"/>
    </row>
    <row r="20" spans="1:12" x14ac:dyDescent="0.25">
      <c r="A20" s="5"/>
      <c r="B20" s="26"/>
      <c r="C20" s="27"/>
      <c r="D20" s="2"/>
      <c r="E20" s="2"/>
      <c r="J20" s="24" t="s">
        <v>9</v>
      </c>
      <c r="K20" s="24"/>
      <c r="L20" s="24" t="str">
        <f ca="1">LDTrf(H4:H10,I4:I10,J4:J10)</f>
        <v>{ :met "ch0:ga:sessions" :dim "ga:deviceCategory" :beg "2014-04-11" :end "2014-05-06" :ord "-ch0:ga:visitBounceRate" }</v>
      </c>
    </row>
    <row r="21" spans="1:12" x14ac:dyDescent="0.25">
      <c r="A21" s="5"/>
      <c r="B21" s="26"/>
      <c r="C21" s="27"/>
      <c r="D21" s="2"/>
      <c r="E21" s="2"/>
    </row>
    <row r="22" spans="1:12" x14ac:dyDescent="0.25">
      <c r="A22" s="5"/>
      <c r="B22" s="26"/>
      <c r="C22" s="27"/>
      <c r="D22" s="2"/>
      <c r="E22" s="2"/>
    </row>
    <row r="23" spans="1:12" x14ac:dyDescent="0.25">
      <c r="A23" s="5"/>
      <c r="B23" s="26"/>
      <c r="C23" s="28"/>
      <c r="D23" s="2"/>
      <c r="E23" s="2"/>
    </row>
    <row r="24" spans="1:12" x14ac:dyDescent="0.25">
      <c r="A24" s="5"/>
      <c r="B24" s="26"/>
      <c r="C24" s="28"/>
      <c r="D24" s="2"/>
      <c r="E24" s="2"/>
    </row>
    <row r="25" spans="1:12" x14ac:dyDescent="0.25">
      <c r="A25" s="5"/>
      <c r="B25" s="26"/>
      <c r="C25" s="28"/>
      <c r="D25" s="2"/>
      <c r="E25" s="2"/>
    </row>
    <row r="26" spans="1:12" x14ac:dyDescent="0.25">
      <c r="A26" s="5"/>
      <c r="B26" s="26"/>
      <c r="C26" s="28"/>
      <c r="D26" s="2"/>
      <c r="E26" s="2"/>
    </row>
    <row r="27" spans="1:12" x14ac:dyDescent="0.25">
      <c r="A27" s="5"/>
      <c r="B27" s="26"/>
      <c r="C27" s="28"/>
      <c r="D27" s="2"/>
      <c r="E27" s="2"/>
      <c r="J27" s="34" t="s">
        <v>525</v>
      </c>
      <c r="K27" s="34"/>
      <c r="L27" s="34" t="s">
        <v>526</v>
      </c>
    </row>
    <row r="28" spans="1:12" x14ac:dyDescent="0.25">
      <c r="A28" s="5"/>
      <c r="B28" s="26"/>
      <c r="C28" s="28"/>
      <c r="D28" s="2"/>
      <c r="E28" s="2"/>
    </row>
    <row r="29" spans="1:12" x14ac:dyDescent="0.25">
      <c r="A29" s="5"/>
      <c r="B29" s="26"/>
      <c r="C29" s="28"/>
      <c r="D29" s="2"/>
      <c r="E29" s="2"/>
    </row>
    <row r="30" spans="1:12" x14ac:dyDescent="0.25">
      <c r="A30" s="5"/>
      <c r="B30" s="26"/>
      <c r="C30" s="28"/>
      <c r="D30" s="2"/>
      <c r="E30" s="2"/>
    </row>
    <row r="31" spans="1:12" x14ac:dyDescent="0.25">
      <c r="A31" s="5"/>
      <c r="B31" s="26"/>
      <c r="C31" s="28"/>
      <c r="D31" s="2"/>
      <c r="E31" s="2"/>
    </row>
    <row r="32" spans="1:12" x14ac:dyDescent="0.25">
      <c r="A32" s="5"/>
      <c r="B32" s="26"/>
      <c r="C32" s="28"/>
      <c r="D32" s="2"/>
      <c r="E32" s="2"/>
    </row>
    <row r="33" spans="1:5" x14ac:dyDescent="0.25">
      <c r="A33" s="5"/>
      <c r="B33" s="26"/>
      <c r="C33" s="28"/>
      <c r="D33" s="2"/>
      <c r="E33" s="2"/>
    </row>
    <row r="34" spans="1:5" x14ac:dyDescent="0.25">
      <c r="B34" s="26"/>
      <c r="C34" s="28"/>
      <c r="D34" s="2"/>
      <c r="E34" s="2"/>
    </row>
    <row r="35" spans="1:5" x14ac:dyDescent="0.25">
      <c r="B35" s="26"/>
      <c r="C35" s="28"/>
      <c r="D35" s="2"/>
      <c r="E35" s="2"/>
    </row>
    <row r="36" spans="1:5" x14ac:dyDescent="0.25">
      <c r="B36" s="26"/>
      <c r="C36" s="28"/>
      <c r="D36" s="2"/>
      <c r="E36" s="2"/>
    </row>
    <row r="37" spans="1:5" x14ac:dyDescent="0.25">
      <c r="B37" s="26"/>
      <c r="C37" s="28"/>
      <c r="D37" s="2"/>
      <c r="E37" s="2"/>
    </row>
    <row r="38" spans="1:5" x14ac:dyDescent="0.25">
      <c r="B38" s="26"/>
      <c r="C38" s="28"/>
      <c r="D38" s="2"/>
      <c r="E38" s="2"/>
    </row>
    <row r="39" spans="1:5" x14ac:dyDescent="0.25">
      <c r="B39" s="26"/>
      <c r="C39" s="28"/>
      <c r="D39" s="2"/>
      <c r="E39" s="2"/>
    </row>
    <row r="40" spans="1:5" x14ac:dyDescent="0.25">
      <c r="B40" s="26"/>
      <c r="C40" s="28"/>
      <c r="D40" s="2"/>
      <c r="E40" s="2"/>
    </row>
    <row r="41" spans="1:5" x14ac:dyDescent="0.25">
      <c r="B41" s="26"/>
      <c r="C41" s="28"/>
      <c r="D41" s="2"/>
      <c r="E41" s="2"/>
    </row>
    <row r="42" spans="1:5" x14ac:dyDescent="0.25">
      <c r="B42" s="26"/>
      <c r="C42" s="28"/>
      <c r="D42" s="2"/>
      <c r="E42" s="2"/>
    </row>
    <row r="43" spans="1:5" x14ac:dyDescent="0.25">
      <c r="B43" s="26"/>
      <c r="C43" s="28"/>
      <c r="D43" s="2"/>
      <c r="E43" s="2"/>
    </row>
    <row r="44" spans="1:5" x14ac:dyDescent="0.25">
      <c r="B44" s="26"/>
      <c r="C44" s="28"/>
      <c r="D44" s="2"/>
      <c r="E44" s="2"/>
    </row>
    <row r="45" spans="1:5" x14ac:dyDescent="0.25">
      <c r="B45" s="26"/>
      <c r="C45" s="28"/>
      <c r="D45" s="2"/>
      <c r="E45" s="2"/>
    </row>
    <row r="46" spans="1:5" x14ac:dyDescent="0.25">
      <c r="B46" s="26"/>
      <c r="C46" s="28"/>
      <c r="D46" s="2"/>
      <c r="E46" s="2"/>
    </row>
    <row r="47" spans="1:5" x14ac:dyDescent="0.25">
      <c r="B47" s="26"/>
      <c r="C47" s="28"/>
      <c r="D47" s="2"/>
      <c r="E47" s="2"/>
    </row>
    <row r="48" spans="1:5" x14ac:dyDescent="0.25">
      <c r="B48" s="26"/>
      <c r="C48" s="28"/>
      <c r="D48" s="2"/>
      <c r="E48" s="2"/>
    </row>
    <row r="49" spans="2:5" x14ac:dyDescent="0.25">
      <c r="B49" s="26"/>
      <c r="C49" s="28"/>
      <c r="D49" s="2"/>
      <c r="E49" s="2"/>
    </row>
    <row r="50" spans="2:5" x14ac:dyDescent="0.25">
      <c r="B50" s="26"/>
      <c r="C50" s="28"/>
      <c r="D50" s="2"/>
      <c r="E50" s="2"/>
    </row>
    <row r="51" spans="2:5" x14ac:dyDescent="0.25">
      <c r="B51" s="26"/>
      <c r="C51" s="28"/>
      <c r="D51" s="2"/>
      <c r="E51" s="2"/>
    </row>
    <row r="52" spans="2:5" x14ac:dyDescent="0.25">
      <c r="B52" s="26"/>
      <c r="C52" s="28"/>
      <c r="D52" s="2"/>
      <c r="E52" s="2"/>
    </row>
    <row r="53" spans="2:5" x14ac:dyDescent="0.25">
      <c r="B53" s="26"/>
      <c r="C53" s="28"/>
      <c r="D53" s="2"/>
      <c r="E53" s="2"/>
    </row>
    <row r="54" spans="2:5" x14ac:dyDescent="0.25">
      <c r="B54" s="26"/>
      <c r="C54" s="28"/>
      <c r="D54" s="2"/>
      <c r="E54" s="2"/>
    </row>
    <row r="55" spans="2:5" x14ac:dyDescent="0.25">
      <c r="B55" s="26"/>
      <c r="C55" s="28"/>
      <c r="D55" s="2"/>
      <c r="E55" s="2"/>
    </row>
    <row r="56" spans="2:5" x14ac:dyDescent="0.25">
      <c r="B56" s="26"/>
      <c r="C56" s="28"/>
      <c r="D56" s="2"/>
      <c r="E56" s="2"/>
    </row>
    <row r="57" spans="2:5" x14ac:dyDescent="0.25">
      <c r="B57" s="26"/>
      <c r="C57" s="28"/>
      <c r="D57" s="2"/>
      <c r="E57" s="2"/>
    </row>
    <row r="58" spans="2:5" x14ac:dyDescent="0.25">
      <c r="B58" s="26"/>
      <c r="C58" s="28"/>
      <c r="D58" s="2"/>
      <c r="E58" s="2"/>
    </row>
    <row r="59" spans="2:5" x14ac:dyDescent="0.25">
      <c r="B59" s="26"/>
      <c r="C59" s="28"/>
      <c r="D59" s="2"/>
      <c r="E59" s="2"/>
    </row>
    <row r="60" spans="2:5" x14ac:dyDescent="0.25">
      <c r="B60" s="26"/>
      <c r="C60" s="28"/>
      <c r="D60" s="2"/>
      <c r="E60" s="2"/>
    </row>
    <row r="61" spans="2:5" x14ac:dyDescent="0.25">
      <c r="B61" s="26"/>
      <c r="C61" s="28"/>
      <c r="D61" s="2"/>
      <c r="E61" s="2"/>
    </row>
    <row r="62" spans="2:5" x14ac:dyDescent="0.25">
      <c r="B62" s="26"/>
      <c r="C62" s="28"/>
      <c r="D62" s="2"/>
      <c r="E62" s="2"/>
    </row>
    <row r="63" spans="2:5" x14ac:dyDescent="0.25">
      <c r="B63" s="26"/>
      <c r="C63" s="28"/>
      <c r="D63" s="2"/>
      <c r="E63" s="2"/>
    </row>
    <row r="64" spans="2:5" x14ac:dyDescent="0.25">
      <c r="B64" s="26"/>
      <c r="C64" s="28"/>
      <c r="D64" s="2"/>
      <c r="E64" s="2"/>
    </row>
    <row r="65" spans="2:5" x14ac:dyDescent="0.25">
      <c r="B65" s="26"/>
      <c r="C65" s="28"/>
      <c r="D65" s="2"/>
      <c r="E65" s="2"/>
    </row>
    <row r="66" spans="2:5" x14ac:dyDescent="0.25">
      <c r="B66" s="26"/>
      <c r="C66" s="28"/>
      <c r="D66" s="2"/>
      <c r="E66" s="2"/>
    </row>
    <row r="67" spans="2:5" x14ac:dyDescent="0.25">
      <c r="B67" s="26"/>
      <c r="C67" s="28"/>
      <c r="D67" s="2"/>
      <c r="E67" s="2"/>
    </row>
    <row r="68" spans="2:5" x14ac:dyDescent="0.25">
      <c r="B68" s="26"/>
      <c r="C68" s="28"/>
      <c r="D68" s="2"/>
      <c r="E68" s="2"/>
    </row>
    <row r="69" spans="2:5" x14ac:dyDescent="0.25">
      <c r="B69" s="26"/>
      <c r="C69" s="28"/>
      <c r="D69" s="2"/>
      <c r="E69" s="2"/>
    </row>
    <row r="70" spans="2:5" x14ac:dyDescent="0.25">
      <c r="B70" s="26"/>
      <c r="C70" s="28"/>
      <c r="D70" s="2"/>
      <c r="E70" s="2"/>
    </row>
    <row r="71" spans="2:5" x14ac:dyDescent="0.25">
      <c r="B71" s="26"/>
      <c r="C71" s="28"/>
      <c r="D71" s="2"/>
      <c r="E71" s="2"/>
    </row>
    <row r="72" spans="2:5" x14ac:dyDescent="0.25">
      <c r="B72" s="29"/>
      <c r="C72" s="30"/>
    </row>
    <row r="73" spans="2:5" x14ac:dyDescent="0.25">
      <c r="B73" s="29"/>
      <c r="C73" s="30"/>
    </row>
    <row r="74" spans="2:5" x14ac:dyDescent="0.25">
      <c r="B74" s="29"/>
      <c r="C74" s="30"/>
    </row>
    <row r="75" spans="2:5" x14ac:dyDescent="0.25">
      <c r="B75" s="29"/>
      <c r="C75" s="30"/>
    </row>
    <row r="76" spans="2:5" x14ac:dyDescent="0.25">
      <c r="B76" s="29"/>
      <c r="C76" s="30"/>
    </row>
    <row r="77" spans="2:5" x14ac:dyDescent="0.25">
      <c r="B77" s="29"/>
      <c r="C77" s="30"/>
    </row>
    <row r="78" spans="2:5" x14ac:dyDescent="0.25">
      <c r="B78" s="29"/>
      <c r="C78" s="30"/>
    </row>
    <row r="79" spans="2:5" x14ac:dyDescent="0.25">
      <c r="B79" s="29"/>
      <c r="C79" s="30"/>
    </row>
    <row r="80" spans="2:5" x14ac:dyDescent="0.25">
      <c r="B80" s="29"/>
      <c r="C80" s="30"/>
    </row>
    <row r="81" spans="2:3" x14ac:dyDescent="0.25">
      <c r="B81" s="29"/>
      <c r="C81" s="30"/>
    </row>
    <row r="82" spans="2:3" x14ac:dyDescent="0.25">
      <c r="B82" s="29"/>
      <c r="C82" s="30"/>
    </row>
    <row r="83" spans="2:3" x14ac:dyDescent="0.25">
      <c r="B83" s="29"/>
      <c r="C83" s="30"/>
    </row>
    <row r="84" spans="2:3" x14ac:dyDescent="0.25">
      <c r="B84" s="29"/>
      <c r="C84" s="30"/>
    </row>
    <row r="85" spans="2:3" x14ac:dyDescent="0.25">
      <c r="B85" s="29"/>
      <c r="C85" s="30"/>
    </row>
    <row r="86" spans="2:3" x14ac:dyDescent="0.25">
      <c r="B86" s="29"/>
      <c r="C86" s="30"/>
    </row>
    <row r="87" spans="2:3" x14ac:dyDescent="0.25">
      <c r="B87" s="29"/>
      <c r="C87" s="30"/>
    </row>
    <row r="88" spans="2:3" x14ac:dyDescent="0.25">
      <c r="B88" s="29"/>
      <c r="C88" s="30"/>
    </row>
    <row r="89" spans="2:3" x14ac:dyDescent="0.25">
      <c r="B89" s="29"/>
      <c r="C89" s="30"/>
    </row>
    <row r="90" spans="2:3" x14ac:dyDescent="0.25">
      <c r="B90" s="29"/>
      <c r="C90" s="30"/>
    </row>
    <row r="91" spans="2:3" x14ac:dyDescent="0.25">
      <c r="B91" s="29"/>
      <c r="C91" s="30"/>
    </row>
    <row r="92" spans="2:3" x14ac:dyDescent="0.25">
      <c r="B92" s="29"/>
      <c r="C92" s="30"/>
    </row>
    <row r="93" spans="2:3" x14ac:dyDescent="0.25">
      <c r="B93" s="29"/>
      <c r="C93" s="30"/>
    </row>
    <row r="94" spans="2:3" x14ac:dyDescent="0.25">
      <c r="B94" s="29"/>
      <c r="C94" s="30"/>
    </row>
    <row r="95" spans="2:3" x14ac:dyDescent="0.25">
      <c r="B95" s="29"/>
      <c r="C95" s="30"/>
    </row>
    <row r="96" spans="2:3" x14ac:dyDescent="0.25">
      <c r="B96" s="29"/>
      <c r="C96" s="30"/>
    </row>
    <row r="97" spans="2:3" x14ac:dyDescent="0.25">
      <c r="B97" s="29"/>
      <c r="C97" s="30"/>
    </row>
    <row r="98" spans="2:3" x14ac:dyDescent="0.25">
      <c r="B98" s="29"/>
      <c r="C98" s="30"/>
    </row>
    <row r="99" spans="2:3" x14ac:dyDescent="0.25">
      <c r="B99" s="29"/>
      <c r="C99" s="30"/>
    </row>
    <row r="100" spans="2:3" x14ac:dyDescent="0.25">
      <c r="B100" s="29"/>
      <c r="C100" s="30"/>
    </row>
    <row r="101" spans="2:3" x14ac:dyDescent="0.25">
      <c r="B101" s="29"/>
      <c r="C101" s="30"/>
    </row>
    <row r="102" spans="2:3" x14ac:dyDescent="0.25">
      <c r="B102" s="29"/>
      <c r="C102" s="30"/>
    </row>
    <row r="103" spans="2:3" x14ac:dyDescent="0.25">
      <c r="B103" s="29"/>
      <c r="C103" s="30"/>
    </row>
    <row r="104" spans="2:3" x14ac:dyDescent="0.25">
      <c r="B104" s="29"/>
      <c r="C104" s="30"/>
    </row>
    <row r="105" spans="2:3" x14ac:dyDescent="0.25">
      <c r="B105" s="29"/>
      <c r="C105" s="30"/>
    </row>
    <row r="106" spans="2:3" x14ac:dyDescent="0.25">
      <c r="B106" s="29"/>
      <c r="C106" s="30"/>
    </row>
    <row r="107" spans="2:3" x14ac:dyDescent="0.25">
      <c r="B107" s="29"/>
      <c r="C107" s="30"/>
    </row>
    <row r="108" spans="2:3" x14ac:dyDescent="0.25">
      <c r="B108" s="29"/>
      <c r="C108" s="30"/>
    </row>
    <row r="109" spans="2:3" x14ac:dyDescent="0.25">
      <c r="B109" s="29"/>
      <c r="C109" s="30"/>
    </row>
    <row r="110" spans="2:3" x14ac:dyDescent="0.25">
      <c r="B110" s="29"/>
      <c r="C110" s="30"/>
    </row>
    <row r="111" spans="2:3" x14ac:dyDescent="0.25">
      <c r="B111" s="29"/>
      <c r="C111" s="30"/>
    </row>
    <row r="112" spans="2:3" x14ac:dyDescent="0.25">
      <c r="B112" s="29"/>
      <c r="C112" s="30"/>
    </row>
    <row r="113" spans="2:3" x14ac:dyDescent="0.25">
      <c r="B113" s="29"/>
      <c r="C113" s="30"/>
    </row>
    <row r="114" spans="2:3" x14ac:dyDescent="0.25">
      <c r="B114" s="29"/>
      <c r="C114" s="30"/>
    </row>
    <row r="115" spans="2:3" x14ac:dyDescent="0.25">
      <c r="B115" s="29"/>
      <c r="C115" s="30"/>
    </row>
    <row r="116" spans="2:3" x14ac:dyDescent="0.25">
      <c r="B116" s="29"/>
      <c r="C116" s="30"/>
    </row>
    <row r="117" spans="2:3" x14ac:dyDescent="0.25">
      <c r="B117" s="29"/>
      <c r="C117" s="30"/>
    </row>
    <row r="118" spans="2:3" x14ac:dyDescent="0.25">
      <c r="B118" s="29"/>
      <c r="C118" s="30"/>
    </row>
    <row r="119" spans="2:3" x14ac:dyDescent="0.25">
      <c r="B119" s="29"/>
      <c r="C119" s="30"/>
    </row>
    <row r="120" spans="2:3" x14ac:dyDescent="0.25">
      <c r="B120" s="29"/>
      <c r="C120" s="30"/>
    </row>
    <row r="121" spans="2:3" x14ac:dyDescent="0.25">
      <c r="B121" s="29"/>
      <c r="C121" s="30"/>
    </row>
    <row r="122" spans="2:3" x14ac:dyDescent="0.25">
      <c r="B122" s="29"/>
      <c r="C122" s="30"/>
    </row>
    <row r="123" spans="2:3" x14ac:dyDescent="0.25">
      <c r="B123" s="29"/>
      <c r="C123" s="30"/>
    </row>
    <row r="124" spans="2:3" x14ac:dyDescent="0.25">
      <c r="B124" s="29"/>
      <c r="C124" s="30"/>
    </row>
    <row r="125" spans="2:3" x14ac:dyDescent="0.25">
      <c r="B125" s="29"/>
      <c r="C125" s="30"/>
    </row>
    <row r="126" spans="2:3" x14ac:dyDescent="0.25">
      <c r="B126" s="29"/>
      <c r="C126" s="30"/>
    </row>
    <row r="127" spans="2:3" x14ac:dyDescent="0.25">
      <c r="B127" s="29"/>
      <c r="C127" s="30"/>
    </row>
    <row r="128" spans="2:3" x14ac:dyDescent="0.25">
      <c r="B128" s="29"/>
      <c r="C128" s="30"/>
    </row>
    <row r="129" spans="2:3" x14ac:dyDescent="0.25">
      <c r="B129" s="29"/>
      <c r="C129" s="30"/>
    </row>
    <row r="130" spans="2:3" x14ac:dyDescent="0.25">
      <c r="B130" s="29"/>
      <c r="C130" s="30"/>
    </row>
    <row r="131" spans="2:3" x14ac:dyDescent="0.25">
      <c r="B131" s="29"/>
      <c r="C131" s="30"/>
    </row>
    <row r="132" spans="2:3" x14ac:dyDescent="0.25">
      <c r="B132" s="29"/>
      <c r="C132" s="30"/>
    </row>
    <row r="133" spans="2:3" x14ac:dyDescent="0.25">
      <c r="B133" s="29"/>
      <c r="C133" s="30"/>
    </row>
    <row r="134" spans="2:3" x14ac:dyDescent="0.25">
      <c r="B134" s="29"/>
      <c r="C134" s="30"/>
    </row>
    <row r="135" spans="2:3" x14ac:dyDescent="0.25">
      <c r="B135" s="29"/>
      <c r="C135" s="30"/>
    </row>
    <row r="136" spans="2:3" x14ac:dyDescent="0.25">
      <c r="B136" s="29"/>
      <c r="C136" s="30"/>
    </row>
    <row r="137" spans="2:3" x14ac:dyDescent="0.25">
      <c r="B137" s="29"/>
      <c r="C137" s="30"/>
    </row>
    <row r="138" spans="2:3" x14ac:dyDescent="0.25">
      <c r="B138" s="29"/>
      <c r="C138" s="30"/>
    </row>
    <row r="139" spans="2:3" x14ac:dyDescent="0.25">
      <c r="B139" s="29"/>
      <c r="C139" s="30"/>
    </row>
    <row r="140" spans="2:3" x14ac:dyDescent="0.25">
      <c r="B140" s="29"/>
      <c r="C140" s="30"/>
    </row>
    <row r="141" spans="2:3" x14ac:dyDescent="0.25">
      <c r="B141" s="29"/>
      <c r="C141" s="30"/>
    </row>
    <row r="142" spans="2:3" x14ac:dyDescent="0.25">
      <c r="B142" s="29"/>
      <c r="C142" s="30"/>
    </row>
    <row r="143" spans="2:3" x14ac:dyDescent="0.25">
      <c r="B143" s="29"/>
      <c r="C143" s="30"/>
    </row>
    <row r="144" spans="2:3" x14ac:dyDescent="0.25">
      <c r="B144" s="29"/>
      <c r="C144" s="30"/>
    </row>
    <row r="145" spans="2:3" x14ac:dyDescent="0.25">
      <c r="B145" s="29"/>
      <c r="C145" s="30"/>
    </row>
    <row r="146" spans="2:3" x14ac:dyDescent="0.25">
      <c r="B146" s="29"/>
      <c r="C146" s="30"/>
    </row>
    <row r="147" spans="2:3" x14ac:dyDescent="0.25">
      <c r="B147" s="29"/>
      <c r="C147" s="30"/>
    </row>
    <row r="148" spans="2:3" x14ac:dyDescent="0.25">
      <c r="B148" s="29"/>
      <c r="C148" s="30"/>
    </row>
    <row r="149" spans="2:3" x14ac:dyDescent="0.25">
      <c r="B149" s="29"/>
      <c r="C149" s="30"/>
    </row>
    <row r="150" spans="2:3" x14ac:dyDescent="0.25">
      <c r="B150" s="29"/>
      <c r="C150" s="30"/>
    </row>
    <row r="151" spans="2:3" x14ac:dyDescent="0.25">
      <c r="B151" s="29"/>
      <c r="C151" s="30"/>
    </row>
    <row r="152" spans="2:3" x14ac:dyDescent="0.25">
      <c r="B152" s="29"/>
      <c r="C152" s="30"/>
    </row>
    <row r="153" spans="2:3" x14ac:dyDescent="0.25">
      <c r="B153" s="29"/>
      <c r="C153" s="30"/>
    </row>
    <row r="154" spans="2:3" x14ac:dyDescent="0.25">
      <c r="B154" s="29"/>
      <c r="C154" s="30"/>
    </row>
    <row r="155" spans="2:3" x14ac:dyDescent="0.25">
      <c r="B155" s="29"/>
      <c r="C155" s="30"/>
    </row>
    <row r="156" spans="2:3" x14ac:dyDescent="0.25">
      <c r="B156" s="29"/>
      <c r="C156" s="30"/>
    </row>
    <row r="157" spans="2:3" x14ac:dyDescent="0.25">
      <c r="B157" s="29"/>
      <c r="C157" s="30"/>
    </row>
    <row r="158" spans="2:3" x14ac:dyDescent="0.25">
      <c r="B158" s="29"/>
      <c r="C158" s="30"/>
    </row>
    <row r="159" spans="2:3" x14ac:dyDescent="0.25">
      <c r="B159" s="29"/>
      <c r="C159" s="30"/>
    </row>
    <row r="160" spans="2:3" x14ac:dyDescent="0.25">
      <c r="B160" s="29"/>
      <c r="C160" s="30"/>
    </row>
    <row r="161" spans="2:3" x14ac:dyDescent="0.25">
      <c r="B161" s="29"/>
      <c r="C161" s="30"/>
    </row>
    <row r="162" spans="2:3" x14ac:dyDescent="0.25">
      <c r="B162" s="29"/>
      <c r="C162" s="30"/>
    </row>
    <row r="163" spans="2:3" x14ac:dyDescent="0.25">
      <c r="B163" s="29"/>
      <c r="C163" s="30"/>
    </row>
    <row r="164" spans="2:3" x14ac:dyDescent="0.25">
      <c r="B164" s="29"/>
      <c r="C164" s="30"/>
    </row>
    <row r="165" spans="2:3" x14ac:dyDescent="0.25">
      <c r="B165" s="29"/>
      <c r="C165" s="30"/>
    </row>
    <row r="166" spans="2:3" x14ac:dyDescent="0.25">
      <c r="B166" s="29"/>
      <c r="C166" s="30"/>
    </row>
    <row r="167" spans="2:3" x14ac:dyDescent="0.25">
      <c r="B167" s="29"/>
      <c r="C167" s="30"/>
    </row>
    <row r="168" spans="2:3" x14ac:dyDescent="0.25">
      <c r="B168" s="29"/>
      <c r="C168" s="30"/>
    </row>
    <row r="169" spans="2:3" x14ac:dyDescent="0.25">
      <c r="B169" s="29"/>
      <c r="C169" s="30"/>
    </row>
    <row r="170" spans="2:3" x14ac:dyDescent="0.25">
      <c r="B170" s="31"/>
      <c r="C170" s="32"/>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 ref="L2"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_Click">
                <anchor moveWithCells="1" sizeWithCells="1">
                  <from>
                    <xdr:col>3</xdr:col>
                    <xdr:colOff>819150</xdr:colOff>
                    <xdr:row>2</xdr:row>
                    <xdr:rowOff>123825</xdr:rowOff>
                  </from>
                  <to>
                    <xdr:col>4</xdr:col>
                    <xdr:colOff>971550</xdr:colOff>
                    <xdr:row>9</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Metadata!$A$3:$A$166</xm:f>
          </x14:formula1>
          <xm:sqref>J6</xm:sqref>
        </x14:dataValidation>
        <x14:dataValidation type="list" errorStyle="information" allowBlank="1" showErrorMessage="1">
          <x14:formula1>
            <xm:f>Metadata!$D$3:$D$149</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33"/>
  <sheetViews>
    <sheetView showGridLines="0" zoomScale="87" zoomScaleNormal="85" workbookViewId="0">
      <selection activeCell="C11" sqref="C11"/>
    </sheetView>
  </sheetViews>
  <sheetFormatPr defaultRowHeight="15" x14ac:dyDescent="0.25"/>
  <cols>
    <col min="2" max="2" width="6.25" customWidth="1"/>
    <col min="3" max="3" width="59.875" customWidth="1"/>
    <col min="4" max="4" width="19.625" bestFit="1" customWidth="1"/>
    <col min="5" max="5" width="4.25" customWidth="1"/>
    <col min="6" max="11" width="21.125" customWidth="1"/>
    <col min="12" max="12" width="14.5" customWidth="1"/>
  </cols>
  <sheetData>
    <row r="1" spans="1:11" x14ac:dyDescent="0.25">
      <c r="H1" s="43" t="s">
        <v>528</v>
      </c>
    </row>
    <row r="2" spans="1:11" ht="15.75" thickBot="1" x14ac:dyDescent="0.3">
      <c r="D2" s="2"/>
    </row>
    <row r="3" spans="1:11" ht="30.75" thickBot="1" x14ac:dyDescent="0.3">
      <c r="A3" s="5"/>
      <c r="B3" s="22" t="s">
        <v>9</v>
      </c>
      <c r="C3" s="45" t="s">
        <v>632</v>
      </c>
      <c r="D3" s="2"/>
      <c r="F3" s="55" t="s">
        <v>123</v>
      </c>
      <c r="G3" s="56" t="s">
        <v>125</v>
      </c>
      <c r="H3" s="56" t="s">
        <v>628</v>
      </c>
      <c r="I3" s="56" t="s">
        <v>627</v>
      </c>
      <c r="J3" s="56"/>
      <c r="K3" s="57"/>
    </row>
    <row r="4" spans="1:11" ht="15" customHeight="1" x14ac:dyDescent="0.25">
      <c r="A4" s="5"/>
      <c r="D4" s="2"/>
      <c r="F4" s="47" t="s">
        <v>629</v>
      </c>
      <c r="G4" s="46" t="s">
        <v>622</v>
      </c>
      <c r="H4" s="46">
        <v>100</v>
      </c>
      <c r="I4" s="6">
        <v>2</v>
      </c>
      <c r="J4" s="6"/>
      <c r="K4" s="48"/>
    </row>
    <row r="5" spans="1:11" x14ac:dyDescent="0.25">
      <c r="A5" s="5"/>
      <c r="D5" s="2"/>
      <c r="F5" s="47" t="s">
        <v>629</v>
      </c>
      <c r="G5" s="46" t="s">
        <v>623</v>
      </c>
      <c r="H5" s="46">
        <v>50</v>
      </c>
      <c r="I5" s="6">
        <v>2</v>
      </c>
      <c r="J5" s="6"/>
      <c r="K5" s="48"/>
    </row>
    <row r="6" spans="1:11" x14ac:dyDescent="0.25">
      <c r="A6" s="5"/>
      <c r="C6" s="2"/>
      <c r="D6" s="2"/>
      <c r="F6" s="49" t="s">
        <v>631</v>
      </c>
      <c r="G6" s="50" t="s">
        <v>626</v>
      </c>
      <c r="H6" s="6">
        <v>100</v>
      </c>
      <c r="I6" s="6">
        <v>1</v>
      </c>
      <c r="J6" s="6"/>
      <c r="K6" s="48"/>
    </row>
    <row r="7" spans="1:11" ht="15" customHeight="1" x14ac:dyDescent="0.25">
      <c r="A7" s="5"/>
      <c r="C7" s="2"/>
      <c r="D7" s="2"/>
      <c r="F7" s="49" t="s">
        <v>630</v>
      </c>
      <c r="G7" s="50" t="s">
        <v>625</v>
      </c>
      <c r="H7" s="50">
        <v>150</v>
      </c>
      <c r="I7" s="6">
        <v>11</v>
      </c>
      <c r="J7" s="6"/>
      <c r="K7" s="48"/>
    </row>
    <row r="8" spans="1:11" x14ac:dyDescent="0.25">
      <c r="A8" s="5"/>
      <c r="C8" s="2"/>
      <c r="D8" s="2"/>
      <c r="F8" s="47" t="s">
        <v>631</v>
      </c>
      <c r="G8" s="46" t="s">
        <v>624</v>
      </c>
      <c r="H8" s="46">
        <v>800</v>
      </c>
      <c r="I8" s="6">
        <v>15</v>
      </c>
      <c r="J8" s="6"/>
      <c r="K8" s="48"/>
    </row>
    <row r="9" spans="1:11" x14ac:dyDescent="0.25">
      <c r="A9" s="5"/>
      <c r="C9" s="2"/>
      <c r="D9" s="2"/>
      <c r="F9" s="49" t="s">
        <v>630</v>
      </c>
      <c r="G9" s="50" t="s">
        <v>622</v>
      </c>
      <c r="H9" s="6">
        <v>963.65079365079339</v>
      </c>
      <c r="I9" s="6">
        <v>81</v>
      </c>
      <c r="J9" s="6"/>
      <c r="K9" s="48"/>
    </row>
    <row r="10" spans="1:11" x14ac:dyDescent="0.25">
      <c r="A10" s="5"/>
      <c r="C10" s="2"/>
      <c r="D10" s="2"/>
      <c r="F10" s="49" t="s">
        <v>631</v>
      </c>
      <c r="G10" s="50" t="s">
        <v>622</v>
      </c>
      <c r="H10" s="6">
        <v>954.75533761194652</v>
      </c>
      <c r="I10" s="6">
        <v>292</v>
      </c>
      <c r="J10" s="6"/>
      <c r="K10" s="48"/>
    </row>
    <row r="11" spans="1:11" x14ac:dyDescent="0.25">
      <c r="A11" s="5"/>
      <c r="C11" s="2"/>
      <c r="D11" s="2"/>
      <c r="F11" s="47" t="s">
        <v>631</v>
      </c>
      <c r="G11" s="46" t="s">
        <v>623</v>
      </c>
      <c r="H11" s="46">
        <v>1183.3333333333335</v>
      </c>
      <c r="I11" s="6">
        <v>24</v>
      </c>
      <c r="J11" s="6"/>
      <c r="K11" s="48"/>
    </row>
    <row r="12" spans="1:11" x14ac:dyDescent="0.25">
      <c r="A12" s="5"/>
      <c r="C12" s="2"/>
      <c r="D12" s="2"/>
      <c r="F12" s="49"/>
      <c r="G12" s="50"/>
      <c r="H12" s="6"/>
      <c r="I12" s="6"/>
      <c r="J12" s="6"/>
      <c r="K12" s="48"/>
    </row>
    <row r="13" spans="1:11" ht="15" customHeight="1" x14ac:dyDescent="0.25">
      <c r="A13" s="5"/>
      <c r="C13" s="2"/>
      <c r="D13" s="2"/>
      <c r="F13" s="49"/>
      <c r="G13" s="50"/>
      <c r="H13" s="6"/>
      <c r="I13" s="6"/>
      <c r="J13" s="6"/>
      <c r="K13" s="48"/>
    </row>
    <row r="14" spans="1:11" ht="15" customHeight="1" x14ac:dyDescent="0.25">
      <c r="A14" s="5"/>
      <c r="C14" s="2"/>
      <c r="D14" s="2"/>
      <c r="F14" s="51"/>
      <c r="G14" s="6"/>
      <c r="H14" s="6"/>
      <c r="I14" s="6"/>
      <c r="J14" s="6"/>
      <c r="K14" s="48"/>
    </row>
    <row r="15" spans="1:11" x14ac:dyDescent="0.25">
      <c r="A15" s="5"/>
      <c r="C15" s="2"/>
      <c r="D15" s="2"/>
      <c r="F15" s="51"/>
      <c r="G15" s="6"/>
      <c r="H15" s="6"/>
      <c r="I15" s="6"/>
      <c r="J15" s="6"/>
      <c r="K15" s="48"/>
    </row>
    <row r="16" spans="1:11" x14ac:dyDescent="0.25">
      <c r="A16" s="5"/>
      <c r="C16" s="2"/>
      <c r="D16" s="2"/>
      <c r="F16" s="51"/>
      <c r="G16" s="6"/>
      <c r="H16" s="6"/>
      <c r="I16" s="6"/>
      <c r="J16" s="6"/>
      <c r="K16" s="48"/>
    </row>
    <row r="17" spans="1:11" x14ac:dyDescent="0.25">
      <c r="A17" s="5"/>
      <c r="C17" s="2"/>
      <c r="D17" s="2"/>
      <c r="F17" s="51"/>
      <c r="G17" s="6"/>
      <c r="H17" s="6"/>
      <c r="I17" s="6"/>
      <c r="J17" s="6"/>
      <c r="K17" s="48"/>
    </row>
    <row r="18" spans="1:11" x14ac:dyDescent="0.25">
      <c r="A18" s="5"/>
      <c r="C18" s="2"/>
      <c r="D18" s="2"/>
      <c r="F18" s="51"/>
      <c r="G18" s="6"/>
      <c r="H18" s="6"/>
      <c r="I18" s="6"/>
      <c r="J18" s="6"/>
      <c r="K18" s="48"/>
    </row>
    <row r="19" spans="1:11" x14ac:dyDescent="0.25">
      <c r="A19" s="5"/>
      <c r="C19" s="2"/>
      <c r="D19" s="2"/>
      <c r="F19" s="51"/>
      <c r="G19" s="6"/>
      <c r="H19" s="6"/>
      <c r="I19" s="6"/>
      <c r="J19" s="6"/>
      <c r="K19" s="48"/>
    </row>
    <row r="20" spans="1:11" x14ac:dyDescent="0.25">
      <c r="A20" s="5"/>
      <c r="C20" s="2"/>
      <c r="D20" s="2"/>
      <c r="F20" s="51"/>
      <c r="G20" s="6"/>
      <c r="H20" s="6"/>
      <c r="I20" s="6"/>
      <c r="J20" s="6"/>
      <c r="K20" s="48"/>
    </row>
    <row r="21" spans="1:11" x14ac:dyDescent="0.25">
      <c r="A21" s="5"/>
      <c r="C21" s="2"/>
      <c r="D21" s="2"/>
      <c r="F21" s="51"/>
      <c r="G21" s="6"/>
      <c r="H21" s="6"/>
      <c r="I21" s="6"/>
      <c r="J21" s="6"/>
      <c r="K21" s="48"/>
    </row>
    <row r="22" spans="1:11" x14ac:dyDescent="0.25">
      <c r="A22" s="5"/>
      <c r="C22" s="2"/>
      <c r="D22" s="2"/>
      <c r="F22" s="51"/>
      <c r="G22" s="6"/>
      <c r="H22" s="6"/>
      <c r="I22" s="6"/>
      <c r="J22" s="6"/>
      <c r="K22" s="48"/>
    </row>
    <row r="23" spans="1:11" x14ac:dyDescent="0.25">
      <c r="A23" s="5"/>
      <c r="C23" s="2"/>
      <c r="D23" s="2"/>
      <c r="F23" s="51"/>
      <c r="G23" s="6"/>
      <c r="H23" s="6"/>
      <c r="I23" s="6"/>
      <c r="J23" s="6"/>
      <c r="K23" s="48"/>
    </row>
    <row r="24" spans="1:11" x14ac:dyDescent="0.25">
      <c r="A24" s="5"/>
      <c r="C24" s="2"/>
      <c r="D24" s="2"/>
      <c r="F24" s="51"/>
      <c r="G24" s="6"/>
      <c r="H24" s="6"/>
      <c r="I24" s="6"/>
      <c r="J24" s="6"/>
      <c r="K24" s="48"/>
    </row>
    <row r="25" spans="1:11" x14ac:dyDescent="0.25">
      <c r="A25" s="5"/>
      <c r="F25" s="51"/>
      <c r="G25" s="6"/>
      <c r="H25" s="6"/>
      <c r="I25" s="6"/>
      <c r="J25" s="6"/>
      <c r="K25" s="48"/>
    </row>
    <row r="26" spans="1:11" x14ac:dyDescent="0.25">
      <c r="A26" s="5"/>
      <c r="B26" s="34" t="s">
        <v>525</v>
      </c>
      <c r="C26" s="34"/>
      <c r="D26" s="34" t="s">
        <v>526</v>
      </c>
      <c r="F26" s="51"/>
      <c r="G26" s="6"/>
      <c r="H26" s="6"/>
      <c r="I26" s="6"/>
      <c r="J26" s="6"/>
      <c r="K26" s="48"/>
    </row>
    <row r="27" spans="1:11" x14ac:dyDescent="0.25">
      <c r="A27" s="5"/>
      <c r="C27" s="2"/>
      <c r="D27" s="2"/>
      <c r="F27" s="51"/>
      <c r="G27" s="6"/>
      <c r="H27" s="6"/>
      <c r="I27" s="6"/>
      <c r="J27" s="6"/>
      <c r="K27" s="48"/>
    </row>
    <row r="28" spans="1:11" x14ac:dyDescent="0.25">
      <c r="A28" s="5"/>
      <c r="C28" s="2"/>
      <c r="D28" s="2"/>
      <c r="F28" s="51"/>
      <c r="G28" s="6"/>
      <c r="H28" s="6"/>
      <c r="I28" s="6"/>
      <c r="J28" s="6"/>
      <c r="K28" s="48"/>
    </row>
    <row r="29" spans="1:11" x14ac:dyDescent="0.25">
      <c r="A29" s="5"/>
      <c r="C29" s="2"/>
      <c r="D29" s="2"/>
      <c r="F29" s="51"/>
      <c r="G29" s="6"/>
      <c r="H29" s="6"/>
      <c r="I29" s="6"/>
      <c r="J29" s="6"/>
      <c r="K29" s="48"/>
    </row>
    <row r="30" spans="1:11" x14ac:dyDescent="0.25">
      <c r="A30" s="5"/>
      <c r="C30" s="2"/>
      <c r="D30" s="2"/>
      <c r="F30" s="51"/>
      <c r="G30" s="6"/>
      <c r="H30" s="6"/>
      <c r="I30" s="6"/>
      <c r="J30" s="6"/>
      <c r="K30" s="48"/>
    </row>
    <row r="31" spans="1:11" x14ac:dyDescent="0.25">
      <c r="A31" s="5"/>
      <c r="C31" s="2"/>
      <c r="D31" s="2"/>
      <c r="F31" s="51"/>
      <c r="G31" s="6"/>
      <c r="H31" s="6"/>
      <c r="I31" s="6"/>
      <c r="J31" s="6"/>
      <c r="K31" s="48"/>
    </row>
    <row r="32" spans="1:11" x14ac:dyDescent="0.25">
      <c r="A32" s="5"/>
      <c r="C32" s="2"/>
      <c r="D32" s="2"/>
      <c r="F32" s="51"/>
      <c r="G32" s="6"/>
      <c r="H32" s="6"/>
      <c r="I32" s="6"/>
      <c r="J32" s="6"/>
      <c r="K32" s="48"/>
    </row>
    <row r="33" spans="3:11" x14ac:dyDescent="0.25">
      <c r="C33" s="2"/>
      <c r="D33" s="2"/>
      <c r="F33" s="51"/>
      <c r="G33" s="6"/>
      <c r="H33" s="6"/>
      <c r="I33" s="6"/>
      <c r="J33" s="6"/>
      <c r="K33" s="48"/>
    </row>
    <row r="34" spans="3:11" x14ac:dyDescent="0.25">
      <c r="C34" s="2"/>
      <c r="D34" s="2"/>
      <c r="F34" s="51"/>
      <c r="G34" s="6"/>
      <c r="H34" s="6"/>
      <c r="I34" s="6"/>
      <c r="J34" s="6"/>
      <c r="K34" s="48"/>
    </row>
    <row r="35" spans="3:11" x14ac:dyDescent="0.25">
      <c r="C35" s="2"/>
      <c r="D35" s="2"/>
      <c r="F35" s="51"/>
      <c r="G35" s="6"/>
      <c r="H35" s="6"/>
      <c r="I35" s="6"/>
      <c r="J35" s="6"/>
      <c r="K35" s="48"/>
    </row>
    <row r="36" spans="3:11" x14ac:dyDescent="0.25">
      <c r="C36" s="2"/>
      <c r="D36" s="2"/>
      <c r="F36" s="51"/>
      <c r="G36" s="6"/>
      <c r="H36" s="6"/>
      <c r="I36" s="6"/>
      <c r="J36" s="6"/>
      <c r="K36" s="48"/>
    </row>
    <row r="37" spans="3:11" x14ac:dyDescent="0.25">
      <c r="C37" s="2"/>
      <c r="D37" s="2"/>
      <c r="F37" s="51"/>
      <c r="G37" s="6"/>
      <c r="H37" s="6"/>
      <c r="I37" s="6"/>
      <c r="J37" s="6"/>
      <c r="K37" s="48"/>
    </row>
    <row r="38" spans="3:11" x14ac:dyDescent="0.25">
      <c r="C38" s="2"/>
      <c r="D38" s="2"/>
      <c r="F38" s="51"/>
      <c r="G38" s="6"/>
      <c r="H38" s="6"/>
      <c r="I38" s="6"/>
      <c r="J38" s="6"/>
      <c r="K38" s="48"/>
    </row>
    <row r="39" spans="3:11" x14ac:dyDescent="0.25">
      <c r="C39" s="2"/>
      <c r="D39" s="2"/>
      <c r="F39" s="51"/>
      <c r="G39" s="6"/>
      <c r="H39" s="6"/>
      <c r="I39" s="6"/>
      <c r="J39" s="6"/>
      <c r="K39" s="48"/>
    </row>
    <row r="40" spans="3:11" x14ac:dyDescent="0.25">
      <c r="C40" s="2"/>
      <c r="D40" s="2"/>
      <c r="F40" s="51"/>
      <c r="G40" s="6"/>
      <c r="H40" s="6"/>
      <c r="I40" s="6"/>
      <c r="J40" s="6"/>
      <c r="K40" s="48"/>
    </row>
    <row r="41" spans="3:11" x14ac:dyDescent="0.25">
      <c r="C41" s="2"/>
      <c r="D41" s="2"/>
      <c r="F41" s="51"/>
      <c r="G41" s="6"/>
      <c r="H41" s="6"/>
      <c r="I41" s="6"/>
      <c r="J41" s="6"/>
      <c r="K41" s="48"/>
    </row>
    <row r="42" spans="3:11" x14ac:dyDescent="0.25">
      <c r="C42" s="2"/>
      <c r="D42" s="2"/>
      <c r="F42" s="51"/>
      <c r="G42" s="6"/>
      <c r="H42" s="6"/>
      <c r="I42" s="6"/>
      <c r="J42" s="6"/>
      <c r="K42" s="48"/>
    </row>
    <row r="43" spans="3:11" x14ac:dyDescent="0.25">
      <c r="C43" s="2"/>
      <c r="D43" s="2"/>
      <c r="F43" s="51"/>
      <c r="G43" s="6"/>
      <c r="H43" s="6"/>
      <c r="I43" s="6"/>
      <c r="J43" s="6"/>
      <c r="K43" s="48"/>
    </row>
    <row r="44" spans="3:11" x14ac:dyDescent="0.25">
      <c r="C44" s="2"/>
      <c r="D44" s="2"/>
      <c r="F44" s="51"/>
      <c r="G44" s="6"/>
      <c r="H44" s="6"/>
      <c r="I44" s="6"/>
      <c r="J44" s="6"/>
      <c r="K44" s="48"/>
    </row>
    <row r="45" spans="3:11" x14ac:dyDescent="0.25">
      <c r="C45" s="2"/>
      <c r="D45" s="2"/>
      <c r="F45" s="51"/>
      <c r="G45" s="6"/>
      <c r="H45" s="6"/>
      <c r="I45" s="6"/>
      <c r="J45" s="6"/>
      <c r="K45" s="48"/>
    </row>
    <row r="46" spans="3:11" x14ac:dyDescent="0.25">
      <c r="C46" s="2"/>
      <c r="D46" s="2"/>
      <c r="F46" s="51"/>
      <c r="G46" s="6"/>
      <c r="H46" s="6"/>
      <c r="I46" s="6"/>
      <c r="J46" s="6"/>
      <c r="K46" s="48"/>
    </row>
    <row r="47" spans="3:11" x14ac:dyDescent="0.25">
      <c r="C47" s="2"/>
      <c r="D47" s="2"/>
      <c r="F47" s="51"/>
      <c r="G47" s="6"/>
      <c r="H47" s="6"/>
      <c r="I47" s="6"/>
      <c r="J47" s="6"/>
      <c r="K47" s="48"/>
    </row>
    <row r="48" spans="3:11" x14ac:dyDescent="0.25">
      <c r="C48" s="2"/>
      <c r="D48" s="2"/>
      <c r="F48" s="51"/>
      <c r="G48" s="6"/>
      <c r="H48" s="6"/>
      <c r="I48" s="6"/>
      <c r="J48" s="6"/>
      <c r="K48" s="48"/>
    </row>
    <row r="49" spans="3:11" x14ac:dyDescent="0.25">
      <c r="C49" s="2"/>
      <c r="D49" s="2"/>
      <c r="F49" s="51"/>
      <c r="G49" s="6"/>
      <c r="H49" s="6"/>
      <c r="I49" s="6"/>
      <c r="J49" s="6"/>
      <c r="K49" s="48"/>
    </row>
    <row r="50" spans="3:11" x14ac:dyDescent="0.25">
      <c r="C50" s="2"/>
      <c r="D50" s="2"/>
      <c r="F50" s="51"/>
      <c r="G50" s="6"/>
      <c r="H50" s="6"/>
      <c r="I50" s="6"/>
      <c r="J50" s="6"/>
      <c r="K50" s="48"/>
    </row>
    <row r="51" spans="3:11" x14ac:dyDescent="0.25">
      <c r="C51" s="2"/>
      <c r="D51" s="2"/>
      <c r="F51" s="51"/>
      <c r="G51" s="6"/>
      <c r="H51" s="6"/>
      <c r="I51" s="6"/>
      <c r="J51" s="6"/>
      <c r="K51" s="48"/>
    </row>
    <row r="52" spans="3:11" x14ac:dyDescent="0.25">
      <c r="C52" s="2"/>
      <c r="D52" s="2"/>
      <c r="F52" s="51"/>
      <c r="G52" s="6"/>
      <c r="H52" s="6"/>
      <c r="I52" s="6"/>
      <c r="J52" s="6"/>
      <c r="K52" s="48"/>
    </row>
    <row r="53" spans="3:11" x14ac:dyDescent="0.25">
      <c r="C53" s="2"/>
      <c r="D53" s="2"/>
      <c r="F53" s="51"/>
      <c r="G53" s="6"/>
      <c r="H53" s="6"/>
      <c r="I53" s="6"/>
      <c r="J53" s="6"/>
      <c r="K53" s="48"/>
    </row>
    <row r="54" spans="3:11" x14ac:dyDescent="0.25">
      <c r="C54" s="2"/>
      <c r="D54" s="2"/>
      <c r="F54" s="51"/>
      <c r="G54" s="6"/>
      <c r="H54" s="6"/>
      <c r="I54" s="6"/>
      <c r="J54" s="6"/>
      <c r="K54" s="48"/>
    </row>
    <row r="55" spans="3:11" x14ac:dyDescent="0.25">
      <c r="C55" s="2"/>
      <c r="D55" s="2"/>
      <c r="F55" s="51"/>
      <c r="G55" s="6"/>
      <c r="H55" s="6"/>
      <c r="I55" s="6"/>
      <c r="J55" s="6"/>
      <c r="K55" s="48"/>
    </row>
    <row r="56" spans="3:11" x14ac:dyDescent="0.25">
      <c r="C56" s="2"/>
      <c r="D56" s="2"/>
      <c r="F56" s="51"/>
      <c r="G56" s="6"/>
      <c r="H56" s="6"/>
      <c r="I56" s="6"/>
      <c r="J56" s="6"/>
      <c r="K56" s="48"/>
    </row>
    <row r="57" spans="3:11" x14ac:dyDescent="0.25">
      <c r="C57" s="2"/>
      <c r="D57" s="2"/>
      <c r="F57" s="51"/>
      <c r="G57" s="6"/>
      <c r="H57" s="6"/>
      <c r="I57" s="6"/>
      <c r="J57" s="6"/>
      <c r="K57" s="48"/>
    </row>
    <row r="58" spans="3:11" x14ac:dyDescent="0.25">
      <c r="C58" s="2"/>
      <c r="D58" s="2"/>
      <c r="F58" s="51"/>
      <c r="G58" s="6"/>
      <c r="H58" s="6"/>
      <c r="I58" s="6"/>
      <c r="J58" s="6"/>
      <c r="K58" s="48"/>
    </row>
    <row r="59" spans="3:11" x14ac:dyDescent="0.25">
      <c r="C59" s="2"/>
      <c r="D59" s="2"/>
      <c r="F59" s="51"/>
      <c r="G59" s="6"/>
      <c r="H59" s="6"/>
      <c r="I59" s="6"/>
      <c r="J59" s="6"/>
      <c r="K59" s="48"/>
    </row>
    <row r="60" spans="3:11" x14ac:dyDescent="0.25">
      <c r="C60" s="2"/>
      <c r="D60" s="2"/>
      <c r="F60" s="51"/>
      <c r="G60" s="6"/>
      <c r="H60" s="6"/>
      <c r="I60" s="6"/>
      <c r="J60" s="6"/>
      <c r="K60" s="48"/>
    </row>
    <row r="61" spans="3:11" x14ac:dyDescent="0.25">
      <c r="C61" s="2"/>
      <c r="D61" s="2"/>
      <c r="F61" s="51"/>
      <c r="G61" s="6"/>
      <c r="H61" s="6"/>
      <c r="I61" s="6"/>
      <c r="J61" s="6"/>
      <c r="K61" s="48"/>
    </row>
    <row r="62" spans="3:11" x14ac:dyDescent="0.25">
      <c r="C62" s="2"/>
      <c r="D62" s="2"/>
      <c r="F62" s="51"/>
      <c r="G62" s="6"/>
      <c r="H62" s="6"/>
      <c r="I62" s="6"/>
      <c r="J62" s="6"/>
      <c r="K62" s="48"/>
    </row>
    <row r="63" spans="3:11" x14ac:dyDescent="0.25">
      <c r="C63" s="2"/>
      <c r="D63" s="2"/>
      <c r="F63" s="51"/>
      <c r="G63" s="6"/>
      <c r="H63" s="6"/>
      <c r="I63" s="6"/>
      <c r="J63" s="6"/>
      <c r="K63" s="48"/>
    </row>
    <row r="64" spans="3:11" x14ac:dyDescent="0.25">
      <c r="C64" s="2"/>
      <c r="D64" s="2"/>
      <c r="F64" s="51"/>
      <c r="G64" s="6"/>
      <c r="H64" s="6"/>
      <c r="I64" s="6"/>
      <c r="J64" s="6"/>
      <c r="K64" s="48"/>
    </row>
    <row r="65" spans="3:11" x14ac:dyDescent="0.25">
      <c r="C65" s="2"/>
      <c r="D65" s="2"/>
      <c r="F65" s="51"/>
      <c r="G65" s="6"/>
      <c r="H65" s="6"/>
      <c r="I65" s="6"/>
      <c r="J65" s="6"/>
      <c r="K65" s="48"/>
    </row>
    <row r="66" spans="3:11" x14ac:dyDescent="0.25">
      <c r="C66" s="2"/>
      <c r="D66" s="2"/>
      <c r="F66" s="51"/>
      <c r="G66" s="6"/>
      <c r="H66" s="6"/>
      <c r="I66" s="6"/>
      <c r="J66" s="6"/>
      <c r="K66" s="48"/>
    </row>
    <row r="67" spans="3:11" x14ac:dyDescent="0.25">
      <c r="C67" s="2"/>
      <c r="D67" s="2"/>
      <c r="F67" s="51"/>
      <c r="G67" s="6"/>
      <c r="H67" s="6"/>
      <c r="I67" s="6"/>
      <c r="J67" s="6"/>
      <c r="K67" s="48"/>
    </row>
    <row r="68" spans="3:11" x14ac:dyDescent="0.25">
      <c r="C68" s="2"/>
      <c r="D68" s="2"/>
      <c r="F68" s="51"/>
      <c r="G68" s="6"/>
      <c r="H68" s="6"/>
      <c r="I68" s="6"/>
      <c r="J68" s="6"/>
      <c r="K68" s="48"/>
    </row>
    <row r="69" spans="3:11" x14ac:dyDescent="0.25">
      <c r="C69" s="2"/>
      <c r="D69" s="2"/>
      <c r="F69" s="51"/>
      <c r="G69" s="6"/>
      <c r="H69" s="6"/>
      <c r="I69" s="6"/>
      <c r="J69" s="6"/>
      <c r="K69" s="48"/>
    </row>
    <row r="70" spans="3:11" x14ac:dyDescent="0.25">
      <c r="C70" s="2"/>
      <c r="D70" s="2"/>
      <c r="F70" s="51"/>
      <c r="G70" s="6"/>
      <c r="H70" s="6"/>
      <c r="I70" s="6"/>
      <c r="J70" s="6"/>
      <c r="K70" s="48"/>
    </row>
    <row r="71" spans="3:11" x14ac:dyDescent="0.25">
      <c r="F71" s="51"/>
      <c r="G71" s="6"/>
      <c r="H71" s="6"/>
      <c r="I71" s="6"/>
      <c r="J71" s="6"/>
      <c r="K71" s="48"/>
    </row>
    <row r="72" spans="3:11" x14ac:dyDescent="0.25">
      <c r="F72" s="51"/>
      <c r="G72" s="6"/>
      <c r="H72" s="6"/>
      <c r="I72" s="6"/>
      <c r="J72" s="6"/>
      <c r="K72" s="48"/>
    </row>
    <row r="73" spans="3:11" x14ac:dyDescent="0.25">
      <c r="F73" s="51"/>
      <c r="G73" s="6"/>
      <c r="H73" s="6"/>
      <c r="I73" s="6"/>
      <c r="J73" s="6"/>
      <c r="K73" s="48"/>
    </row>
    <row r="74" spans="3:11" x14ac:dyDescent="0.25">
      <c r="F74" s="51"/>
      <c r="G74" s="6"/>
      <c r="H74" s="6"/>
      <c r="I74" s="6"/>
      <c r="J74" s="6"/>
      <c r="K74" s="48"/>
    </row>
    <row r="75" spans="3:11" x14ac:dyDescent="0.25">
      <c r="F75" s="51"/>
      <c r="G75" s="6"/>
      <c r="H75" s="6"/>
      <c r="I75" s="6"/>
      <c r="J75" s="6"/>
      <c r="K75" s="48"/>
    </row>
    <row r="76" spans="3:11" x14ac:dyDescent="0.25">
      <c r="F76" s="51"/>
      <c r="G76" s="6"/>
      <c r="H76" s="6"/>
      <c r="I76" s="6"/>
      <c r="J76" s="6"/>
      <c r="K76" s="48"/>
    </row>
    <row r="77" spans="3:11" x14ac:dyDescent="0.25">
      <c r="F77" s="51"/>
      <c r="G77" s="6"/>
      <c r="H77" s="6"/>
      <c r="I77" s="6"/>
      <c r="J77" s="6"/>
      <c r="K77" s="48"/>
    </row>
    <row r="78" spans="3:11" x14ac:dyDescent="0.25">
      <c r="F78" s="51"/>
      <c r="G78" s="6"/>
      <c r="H78" s="6"/>
      <c r="I78" s="6"/>
      <c r="J78" s="6"/>
      <c r="K78" s="48"/>
    </row>
    <row r="79" spans="3:11" x14ac:dyDescent="0.25">
      <c r="F79" s="51"/>
      <c r="G79" s="6"/>
      <c r="H79" s="6"/>
      <c r="I79" s="6"/>
      <c r="J79" s="6"/>
      <c r="K79" s="48"/>
    </row>
    <row r="80" spans="3:11" x14ac:dyDescent="0.25">
      <c r="F80" s="51"/>
      <c r="G80" s="6"/>
      <c r="H80" s="6"/>
      <c r="I80" s="6"/>
      <c r="J80" s="6"/>
      <c r="K80" s="48"/>
    </row>
    <row r="81" spans="6:11" x14ac:dyDescent="0.25">
      <c r="F81" s="51"/>
      <c r="G81" s="6"/>
      <c r="H81" s="6"/>
      <c r="I81" s="6"/>
      <c r="J81" s="6"/>
      <c r="K81" s="48"/>
    </row>
    <row r="82" spans="6:11" x14ac:dyDescent="0.25">
      <c r="F82" s="51"/>
      <c r="G82" s="6"/>
      <c r="H82" s="6"/>
      <c r="I82" s="6"/>
      <c r="J82" s="6"/>
      <c r="K82" s="48"/>
    </row>
    <row r="83" spans="6:11" x14ac:dyDescent="0.25">
      <c r="F83" s="51"/>
      <c r="G83" s="6"/>
      <c r="H83" s="6"/>
      <c r="I83" s="6"/>
      <c r="J83" s="6"/>
      <c r="K83" s="48"/>
    </row>
    <row r="84" spans="6:11" x14ac:dyDescent="0.25">
      <c r="F84" s="51"/>
      <c r="G84" s="6"/>
      <c r="H84" s="6"/>
      <c r="I84" s="6"/>
      <c r="J84" s="6"/>
      <c r="K84" s="48"/>
    </row>
    <row r="85" spans="6:11" x14ac:dyDescent="0.25">
      <c r="F85" s="51"/>
      <c r="G85" s="6"/>
      <c r="H85" s="6"/>
      <c r="I85" s="6"/>
      <c r="J85" s="6"/>
      <c r="K85" s="48"/>
    </row>
    <row r="86" spans="6:11" x14ac:dyDescent="0.25">
      <c r="F86" s="51"/>
      <c r="G86" s="6"/>
      <c r="H86" s="6"/>
      <c r="I86" s="6"/>
      <c r="J86" s="6"/>
      <c r="K86" s="48"/>
    </row>
    <row r="87" spans="6:11" x14ac:dyDescent="0.25">
      <c r="F87" s="51"/>
      <c r="G87" s="6"/>
      <c r="H87" s="6"/>
      <c r="I87" s="6"/>
      <c r="J87" s="6"/>
      <c r="K87" s="48"/>
    </row>
    <row r="88" spans="6:11" x14ac:dyDescent="0.25">
      <c r="F88" s="51"/>
      <c r="G88" s="6"/>
      <c r="H88" s="6"/>
      <c r="I88" s="6"/>
      <c r="J88" s="6"/>
      <c r="K88" s="48"/>
    </row>
    <row r="89" spans="6:11" x14ac:dyDescent="0.25">
      <c r="F89" s="51"/>
      <c r="G89" s="6"/>
      <c r="H89" s="6"/>
      <c r="I89" s="6"/>
      <c r="J89" s="6"/>
      <c r="K89" s="48"/>
    </row>
    <row r="90" spans="6:11" x14ac:dyDescent="0.25">
      <c r="F90" s="51"/>
      <c r="G90" s="6"/>
      <c r="H90" s="6"/>
      <c r="I90" s="6"/>
      <c r="J90" s="6"/>
      <c r="K90" s="48"/>
    </row>
    <row r="91" spans="6:11" x14ac:dyDescent="0.25">
      <c r="F91" s="51"/>
      <c r="G91" s="6"/>
      <c r="H91" s="6"/>
      <c r="I91" s="6"/>
      <c r="J91" s="6"/>
      <c r="K91" s="48"/>
    </row>
    <row r="92" spans="6:11" x14ac:dyDescent="0.25">
      <c r="F92" s="51"/>
      <c r="G92" s="6"/>
      <c r="H92" s="6"/>
      <c r="I92" s="6"/>
      <c r="J92" s="6"/>
      <c r="K92" s="48"/>
    </row>
    <row r="93" spans="6:11" x14ac:dyDescent="0.25">
      <c r="F93" s="51"/>
      <c r="G93" s="6"/>
      <c r="H93" s="6"/>
      <c r="I93" s="6"/>
      <c r="J93" s="6"/>
      <c r="K93" s="48"/>
    </row>
    <row r="94" spans="6:11" x14ac:dyDescent="0.25">
      <c r="F94" s="51"/>
      <c r="G94" s="6"/>
      <c r="H94" s="6"/>
      <c r="I94" s="6"/>
      <c r="J94" s="6"/>
      <c r="K94" s="48"/>
    </row>
    <row r="95" spans="6:11" x14ac:dyDescent="0.25">
      <c r="F95" s="51"/>
      <c r="G95" s="6"/>
      <c r="H95" s="6"/>
      <c r="I95" s="6"/>
      <c r="J95" s="6"/>
      <c r="K95" s="48"/>
    </row>
    <row r="96" spans="6:11" x14ac:dyDescent="0.25">
      <c r="F96" s="51"/>
      <c r="G96" s="6"/>
      <c r="H96" s="6"/>
      <c r="I96" s="6"/>
      <c r="J96" s="6"/>
      <c r="K96" s="48"/>
    </row>
    <row r="97" spans="6:11" x14ac:dyDescent="0.25">
      <c r="F97" s="51"/>
      <c r="G97" s="6"/>
      <c r="H97" s="6"/>
      <c r="I97" s="6"/>
      <c r="J97" s="6"/>
      <c r="K97" s="48"/>
    </row>
    <row r="98" spans="6:11" x14ac:dyDescent="0.25">
      <c r="F98" s="51"/>
      <c r="G98" s="6"/>
      <c r="H98" s="6"/>
      <c r="I98" s="6"/>
      <c r="J98" s="6"/>
      <c r="K98" s="48"/>
    </row>
    <row r="99" spans="6:11" x14ac:dyDescent="0.25">
      <c r="F99" s="51"/>
      <c r="G99" s="6"/>
      <c r="H99" s="6"/>
      <c r="I99" s="6"/>
      <c r="J99" s="6"/>
      <c r="K99" s="48"/>
    </row>
    <row r="100" spans="6:11" x14ac:dyDescent="0.25">
      <c r="F100" s="51"/>
      <c r="G100" s="6"/>
      <c r="H100" s="6"/>
      <c r="I100" s="6"/>
      <c r="J100" s="6"/>
      <c r="K100" s="48"/>
    </row>
    <row r="101" spans="6:11" x14ac:dyDescent="0.25">
      <c r="F101" s="51"/>
      <c r="G101" s="6"/>
      <c r="H101" s="6"/>
      <c r="I101" s="6"/>
      <c r="J101" s="6"/>
      <c r="K101" s="48"/>
    </row>
    <row r="102" spans="6:11" x14ac:dyDescent="0.25">
      <c r="F102" s="51"/>
      <c r="G102" s="6"/>
      <c r="H102" s="6"/>
      <c r="I102" s="6"/>
      <c r="J102" s="6"/>
      <c r="K102" s="48"/>
    </row>
    <row r="103" spans="6:11" x14ac:dyDescent="0.25">
      <c r="F103" s="51"/>
      <c r="G103" s="6"/>
      <c r="H103" s="6"/>
      <c r="I103" s="6"/>
      <c r="J103" s="6"/>
      <c r="K103" s="48"/>
    </row>
    <row r="104" spans="6:11" x14ac:dyDescent="0.25">
      <c r="F104" s="51"/>
      <c r="G104" s="6"/>
      <c r="H104" s="6"/>
      <c r="I104" s="6"/>
      <c r="J104" s="6"/>
      <c r="K104" s="48"/>
    </row>
    <row r="105" spans="6:11" x14ac:dyDescent="0.25">
      <c r="F105" s="51"/>
      <c r="G105" s="6"/>
      <c r="H105" s="6"/>
      <c r="I105" s="6"/>
      <c r="J105" s="6"/>
      <c r="K105" s="48"/>
    </row>
    <row r="106" spans="6:11" x14ac:dyDescent="0.25">
      <c r="F106" s="51"/>
      <c r="G106" s="6"/>
      <c r="H106" s="6"/>
      <c r="I106" s="6"/>
      <c r="J106" s="6"/>
      <c r="K106" s="48"/>
    </row>
    <row r="107" spans="6:11" x14ac:dyDescent="0.25">
      <c r="F107" s="51"/>
      <c r="G107" s="6"/>
      <c r="H107" s="6"/>
      <c r="I107" s="6"/>
      <c r="J107" s="6"/>
      <c r="K107" s="48"/>
    </row>
    <row r="108" spans="6:11" x14ac:dyDescent="0.25">
      <c r="F108" s="51"/>
      <c r="G108" s="6"/>
      <c r="H108" s="6"/>
      <c r="I108" s="6"/>
      <c r="J108" s="6"/>
      <c r="K108" s="48"/>
    </row>
    <row r="109" spans="6:11" x14ac:dyDescent="0.25">
      <c r="F109" s="51"/>
      <c r="G109" s="6"/>
      <c r="H109" s="6"/>
      <c r="I109" s="6"/>
      <c r="J109" s="6"/>
      <c r="K109" s="48"/>
    </row>
    <row r="110" spans="6:11" x14ac:dyDescent="0.25">
      <c r="F110" s="51"/>
      <c r="G110" s="6"/>
      <c r="H110" s="6"/>
      <c r="I110" s="6"/>
      <c r="J110" s="6"/>
      <c r="K110" s="48"/>
    </row>
    <row r="111" spans="6:11" x14ac:dyDescent="0.25">
      <c r="F111" s="51"/>
      <c r="G111" s="6"/>
      <c r="H111" s="6"/>
      <c r="I111" s="6"/>
      <c r="J111" s="6"/>
      <c r="K111" s="48"/>
    </row>
    <row r="112" spans="6:11" x14ac:dyDescent="0.25">
      <c r="F112" s="51"/>
      <c r="G112" s="6"/>
      <c r="H112" s="6"/>
      <c r="I112" s="6"/>
      <c r="J112" s="6"/>
      <c r="K112" s="48"/>
    </row>
    <row r="113" spans="6:11" x14ac:dyDescent="0.25">
      <c r="F113" s="51"/>
      <c r="G113" s="6"/>
      <c r="H113" s="6"/>
      <c r="I113" s="6"/>
      <c r="J113" s="6"/>
      <c r="K113" s="48"/>
    </row>
    <row r="114" spans="6:11" x14ac:dyDescent="0.25">
      <c r="F114" s="51"/>
      <c r="G114" s="6"/>
      <c r="H114" s="6"/>
      <c r="I114" s="6"/>
      <c r="J114" s="6"/>
      <c r="K114" s="48"/>
    </row>
    <row r="115" spans="6:11" x14ac:dyDescent="0.25">
      <c r="F115" s="51"/>
      <c r="G115" s="6"/>
      <c r="H115" s="6"/>
      <c r="I115" s="6"/>
      <c r="J115" s="6"/>
      <c r="K115" s="48"/>
    </row>
    <row r="116" spans="6:11" x14ac:dyDescent="0.25">
      <c r="F116" s="51"/>
      <c r="G116" s="6"/>
      <c r="H116" s="6"/>
      <c r="I116" s="6"/>
      <c r="J116" s="6"/>
      <c r="K116" s="48"/>
    </row>
    <row r="117" spans="6:11" x14ac:dyDescent="0.25">
      <c r="F117" s="51"/>
      <c r="G117" s="6"/>
      <c r="H117" s="6"/>
      <c r="I117" s="6"/>
      <c r="J117" s="6"/>
      <c r="K117" s="48"/>
    </row>
    <row r="118" spans="6:11" x14ac:dyDescent="0.25">
      <c r="F118" s="51"/>
      <c r="G118" s="6"/>
      <c r="H118" s="6"/>
      <c r="I118" s="6"/>
      <c r="J118" s="6"/>
      <c r="K118" s="48"/>
    </row>
    <row r="119" spans="6:11" x14ac:dyDescent="0.25">
      <c r="F119" s="51"/>
      <c r="G119" s="6"/>
      <c r="H119" s="6"/>
      <c r="I119" s="6"/>
      <c r="J119" s="6"/>
      <c r="K119" s="48"/>
    </row>
    <row r="120" spans="6:11" x14ac:dyDescent="0.25">
      <c r="F120" s="51"/>
      <c r="G120" s="6"/>
      <c r="H120" s="6"/>
      <c r="I120" s="6"/>
      <c r="J120" s="6"/>
      <c r="K120" s="48"/>
    </row>
    <row r="121" spans="6:11" x14ac:dyDescent="0.25">
      <c r="F121" s="51"/>
      <c r="G121" s="6"/>
      <c r="H121" s="6"/>
      <c r="I121" s="6"/>
      <c r="J121" s="6"/>
      <c r="K121" s="48"/>
    </row>
    <row r="122" spans="6:11" x14ac:dyDescent="0.25">
      <c r="F122" s="51"/>
      <c r="G122" s="6"/>
      <c r="H122" s="6"/>
      <c r="I122" s="6"/>
      <c r="J122" s="6"/>
      <c r="K122" s="48"/>
    </row>
    <row r="123" spans="6:11" x14ac:dyDescent="0.25">
      <c r="F123" s="51"/>
      <c r="G123" s="6"/>
      <c r="H123" s="6"/>
      <c r="I123" s="6"/>
      <c r="J123" s="6"/>
      <c r="K123" s="48"/>
    </row>
    <row r="124" spans="6:11" x14ac:dyDescent="0.25">
      <c r="F124" s="51"/>
      <c r="G124" s="6"/>
      <c r="H124" s="6"/>
      <c r="I124" s="6"/>
      <c r="J124" s="6"/>
      <c r="K124" s="48"/>
    </row>
    <row r="125" spans="6:11" x14ac:dyDescent="0.25">
      <c r="F125" s="51"/>
      <c r="G125" s="6"/>
      <c r="H125" s="6"/>
      <c r="I125" s="6"/>
      <c r="J125" s="6"/>
      <c r="K125" s="48"/>
    </row>
    <row r="126" spans="6:11" x14ac:dyDescent="0.25">
      <c r="F126" s="51"/>
      <c r="G126" s="6"/>
      <c r="H126" s="6"/>
      <c r="I126" s="6"/>
      <c r="J126" s="6"/>
      <c r="K126" s="48"/>
    </row>
    <row r="127" spans="6:11" x14ac:dyDescent="0.25">
      <c r="F127" s="51"/>
      <c r="G127" s="6"/>
      <c r="H127" s="6"/>
      <c r="I127" s="6"/>
      <c r="J127" s="6"/>
      <c r="K127" s="48"/>
    </row>
    <row r="128" spans="6:11" x14ac:dyDescent="0.25">
      <c r="F128" s="51"/>
      <c r="G128" s="6"/>
      <c r="H128" s="6"/>
      <c r="I128" s="6"/>
      <c r="J128" s="6"/>
      <c r="K128" s="48"/>
    </row>
    <row r="129" spans="6:11" x14ac:dyDescent="0.25">
      <c r="F129" s="51"/>
      <c r="G129" s="6"/>
      <c r="H129" s="6"/>
      <c r="I129" s="6"/>
      <c r="J129" s="6"/>
      <c r="K129" s="48"/>
    </row>
    <row r="130" spans="6:11" x14ac:dyDescent="0.25">
      <c r="F130" s="51"/>
      <c r="G130" s="6"/>
      <c r="H130" s="6"/>
      <c r="I130" s="6"/>
      <c r="J130" s="6"/>
      <c r="K130" s="48"/>
    </row>
    <row r="131" spans="6:11" x14ac:dyDescent="0.25">
      <c r="F131" s="51"/>
      <c r="G131" s="6"/>
      <c r="H131" s="6"/>
      <c r="I131" s="6"/>
      <c r="J131" s="6"/>
      <c r="K131" s="48"/>
    </row>
    <row r="132" spans="6:11" x14ac:dyDescent="0.25">
      <c r="F132" s="51"/>
      <c r="G132" s="6"/>
      <c r="H132" s="6"/>
      <c r="I132" s="6"/>
      <c r="J132" s="6"/>
      <c r="K132" s="48"/>
    </row>
    <row r="133" spans="6:11" ht="15.75" thickBot="1" x14ac:dyDescent="0.3">
      <c r="F133" s="52"/>
      <c r="G133" s="53"/>
      <c r="H133" s="53"/>
      <c r="I133" s="53"/>
      <c r="J133" s="53"/>
      <c r="K133" s="54"/>
    </row>
  </sheetData>
  <hyperlinks>
    <hyperlink ref="D26" r:id="rId1"/>
    <hyperlink ref="H1"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fresh_Click2">
                <anchor moveWithCells="1" sizeWithCells="1">
                  <from>
                    <xdr:col>3</xdr:col>
                    <xdr:colOff>238125</xdr:colOff>
                    <xdr:row>1</xdr:row>
                    <xdr:rowOff>190500</xdr:rowOff>
                  </from>
                  <to>
                    <xdr:col>4</xdr:col>
                    <xdr:colOff>95250</xdr:colOff>
                    <xdr:row>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66"/>
  <sheetViews>
    <sheetView showGridLines="0" topLeftCell="A3" zoomScale="85" zoomScaleNormal="85" workbookViewId="0">
      <selection activeCell="A4" sqref="A4"/>
    </sheetView>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523</v>
      </c>
      <c r="C2" s="41" t="s">
        <v>524</v>
      </c>
      <c r="D2" s="1" t="s">
        <v>0</v>
      </c>
      <c r="E2" s="39" t="s">
        <v>303</v>
      </c>
    </row>
    <row r="3" spans="1:5" ht="30" x14ac:dyDescent="0.25">
      <c r="A3" t="s">
        <v>15</v>
      </c>
      <c r="B3" s="40" t="s">
        <v>621</v>
      </c>
      <c r="D3" t="s">
        <v>50</v>
      </c>
      <c r="E3" s="40" t="s">
        <v>308</v>
      </c>
    </row>
    <row r="4" spans="1:5" ht="75" x14ac:dyDescent="0.25">
      <c r="A4" t="s">
        <v>51</v>
      </c>
      <c r="B4" s="40" t="s">
        <v>306</v>
      </c>
      <c r="D4" t="s">
        <v>52</v>
      </c>
      <c r="E4" s="40" t="s">
        <v>307</v>
      </c>
    </row>
    <row r="5" spans="1:5" ht="30" x14ac:dyDescent="0.25">
      <c r="A5" t="s">
        <v>83</v>
      </c>
      <c r="B5" s="40" t="s">
        <v>319</v>
      </c>
      <c r="D5" t="s">
        <v>273</v>
      </c>
      <c r="E5" s="40" t="s">
        <v>515</v>
      </c>
    </row>
    <row r="6" spans="1:5" ht="30" x14ac:dyDescent="0.25">
      <c r="A6" t="s">
        <v>81</v>
      </c>
      <c r="B6" s="40" t="s">
        <v>320</v>
      </c>
      <c r="D6" t="s">
        <v>271</v>
      </c>
      <c r="E6" s="40" t="s">
        <v>471</v>
      </c>
    </row>
    <row r="7" spans="1:5" ht="75" x14ac:dyDescent="0.25">
      <c r="A7" t="s">
        <v>63</v>
      </c>
      <c r="B7" s="40" t="s">
        <v>338</v>
      </c>
      <c r="D7" t="s">
        <v>269</v>
      </c>
      <c r="E7" s="40" t="s">
        <v>472</v>
      </c>
    </row>
    <row r="8" spans="1:5" ht="30" x14ac:dyDescent="0.25">
      <c r="A8" t="s">
        <v>75</v>
      </c>
      <c r="B8" s="40" t="s">
        <v>326</v>
      </c>
      <c r="D8" t="s">
        <v>277</v>
      </c>
      <c r="E8" s="40" t="s">
        <v>511</v>
      </c>
    </row>
    <row r="9" spans="1:5" ht="30" x14ac:dyDescent="0.25">
      <c r="A9" t="s">
        <v>57</v>
      </c>
      <c r="B9" s="40" t="s">
        <v>344</v>
      </c>
      <c r="D9" t="s">
        <v>279</v>
      </c>
      <c r="E9" s="40" t="s">
        <v>510</v>
      </c>
    </row>
    <row r="10" spans="1:5" ht="60" x14ac:dyDescent="0.25">
      <c r="A10" t="s">
        <v>67</v>
      </c>
      <c r="B10" s="40" t="s">
        <v>334</v>
      </c>
      <c r="D10" t="s">
        <v>281</v>
      </c>
      <c r="E10" s="40" t="s">
        <v>509</v>
      </c>
    </row>
    <row r="11" spans="1:5" ht="45" x14ac:dyDescent="0.25">
      <c r="A11" t="s">
        <v>69</v>
      </c>
      <c r="B11" s="40" t="s">
        <v>332</v>
      </c>
      <c r="D11" t="s">
        <v>275</v>
      </c>
      <c r="E11" s="40" t="s">
        <v>513</v>
      </c>
    </row>
    <row r="12" spans="1:5" ht="90" x14ac:dyDescent="0.25">
      <c r="A12" t="s">
        <v>65</v>
      </c>
      <c r="B12" s="40" t="s">
        <v>336</v>
      </c>
      <c r="D12" t="s">
        <v>267</v>
      </c>
      <c r="E12" s="40" t="s">
        <v>473</v>
      </c>
    </row>
    <row r="13" spans="1:5" ht="30" x14ac:dyDescent="0.25">
      <c r="A13" t="s">
        <v>71</v>
      </c>
      <c r="B13" s="40" t="s">
        <v>330</v>
      </c>
      <c r="D13" t="s">
        <v>185</v>
      </c>
      <c r="E13" s="40" t="s">
        <v>434</v>
      </c>
    </row>
    <row r="14" spans="1:5" ht="30" x14ac:dyDescent="0.25">
      <c r="A14" t="s">
        <v>73</v>
      </c>
      <c r="B14" s="40" t="s">
        <v>328</v>
      </c>
      <c r="D14" t="s">
        <v>193</v>
      </c>
      <c r="E14" s="40" t="s">
        <v>428</v>
      </c>
    </row>
    <row r="15" spans="1:5" ht="30" x14ac:dyDescent="0.25">
      <c r="A15" t="s">
        <v>59</v>
      </c>
      <c r="B15" s="40" t="s">
        <v>342</v>
      </c>
      <c r="D15" t="s">
        <v>153</v>
      </c>
      <c r="E15" s="40" t="s">
        <v>409</v>
      </c>
    </row>
    <row r="16" spans="1:5" ht="30" x14ac:dyDescent="0.25">
      <c r="A16" t="s">
        <v>61</v>
      </c>
      <c r="B16" s="40" t="s">
        <v>340</v>
      </c>
      <c r="D16" t="s">
        <v>179</v>
      </c>
      <c r="E16" s="40" t="s">
        <v>439</v>
      </c>
    </row>
    <row r="17" spans="1:5" ht="60" x14ac:dyDescent="0.25">
      <c r="A17" t="s">
        <v>79</v>
      </c>
      <c r="B17" s="40" t="s">
        <v>322</v>
      </c>
      <c r="D17" t="s">
        <v>175</v>
      </c>
      <c r="E17" s="40" t="s">
        <v>387</v>
      </c>
    </row>
    <row r="18" spans="1:5" ht="30" x14ac:dyDescent="0.25">
      <c r="A18" t="s">
        <v>77</v>
      </c>
      <c r="B18" s="40" t="s">
        <v>324</v>
      </c>
      <c r="D18" t="s">
        <v>205</v>
      </c>
      <c r="E18" s="40" t="s">
        <v>418</v>
      </c>
    </row>
    <row r="19" spans="1:5" ht="30" x14ac:dyDescent="0.25">
      <c r="A19" t="s">
        <v>89</v>
      </c>
      <c r="B19" s="40" t="s">
        <v>367</v>
      </c>
      <c r="D19" t="s">
        <v>157</v>
      </c>
      <c r="E19" s="40" t="s">
        <v>405</v>
      </c>
    </row>
    <row r="20" spans="1:5" ht="60" x14ac:dyDescent="0.25">
      <c r="A20" t="s">
        <v>87</v>
      </c>
      <c r="B20" s="40" t="s">
        <v>368</v>
      </c>
      <c r="D20" t="s">
        <v>22</v>
      </c>
      <c r="E20" s="40" t="s">
        <v>412</v>
      </c>
    </row>
    <row r="21" spans="1:5" ht="45" x14ac:dyDescent="0.25">
      <c r="A21" t="s">
        <v>91</v>
      </c>
      <c r="B21" s="40" t="s">
        <v>366</v>
      </c>
      <c r="D21" t="s">
        <v>161</v>
      </c>
      <c r="E21" s="40" t="s">
        <v>401</v>
      </c>
    </row>
    <row r="22" spans="1:5" ht="30" x14ac:dyDescent="0.25">
      <c r="A22" t="s">
        <v>93</v>
      </c>
      <c r="B22" s="40" t="s">
        <v>364</v>
      </c>
      <c r="D22" t="s">
        <v>197</v>
      </c>
      <c r="E22" s="40" t="s">
        <v>424</v>
      </c>
    </row>
    <row r="23" spans="1:5" ht="30" x14ac:dyDescent="0.25">
      <c r="A23" t="s">
        <v>85</v>
      </c>
      <c r="B23" s="40" t="s">
        <v>318</v>
      </c>
      <c r="D23" t="s">
        <v>129</v>
      </c>
      <c r="E23" s="40" t="s">
        <v>376</v>
      </c>
    </row>
    <row r="24" spans="1:5" ht="30" x14ac:dyDescent="0.25">
      <c r="A24" t="s">
        <v>234</v>
      </c>
      <c r="B24" s="40" t="s">
        <v>445</v>
      </c>
      <c r="D24" t="s">
        <v>134</v>
      </c>
      <c r="E24" s="40" t="s">
        <v>372</v>
      </c>
    </row>
    <row r="25" spans="1:5" ht="30" x14ac:dyDescent="0.25">
      <c r="A25" t="s">
        <v>216</v>
      </c>
      <c r="B25" s="40" t="s">
        <v>462</v>
      </c>
      <c r="D25" t="s">
        <v>122</v>
      </c>
      <c r="E25" s="40" t="s">
        <v>381</v>
      </c>
    </row>
    <row r="26" spans="1:5" ht="75" x14ac:dyDescent="0.25">
      <c r="A26" t="s">
        <v>210</v>
      </c>
      <c r="B26" s="40" t="s">
        <v>467</v>
      </c>
      <c r="D26" t="s">
        <v>165</v>
      </c>
      <c r="E26" s="40" t="s">
        <v>397</v>
      </c>
    </row>
    <row r="27" spans="1:5" ht="45" x14ac:dyDescent="0.25">
      <c r="A27" t="s">
        <v>214</v>
      </c>
      <c r="B27" s="40" t="s">
        <v>464</v>
      </c>
      <c r="D27" t="s">
        <v>169</v>
      </c>
      <c r="E27" s="40" t="s">
        <v>393</v>
      </c>
    </row>
    <row r="28" spans="1:5" ht="30" x14ac:dyDescent="0.25">
      <c r="A28" t="s">
        <v>212</v>
      </c>
      <c r="B28" s="40" t="s">
        <v>466</v>
      </c>
      <c r="D28" t="s">
        <v>551</v>
      </c>
      <c r="E28" s="40" t="s">
        <v>552</v>
      </c>
    </row>
    <row r="29" spans="1:5" ht="30" x14ac:dyDescent="0.25">
      <c r="A29" t="s">
        <v>102</v>
      </c>
      <c r="B29" s="40" t="s">
        <v>561</v>
      </c>
      <c r="D29" t="s">
        <v>112</v>
      </c>
      <c r="E29" s="40" t="s">
        <v>568</v>
      </c>
    </row>
    <row r="30" spans="1:5" ht="30" x14ac:dyDescent="0.25">
      <c r="A30" t="s">
        <v>104</v>
      </c>
      <c r="B30" s="40" t="s">
        <v>562</v>
      </c>
      <c r="D30" t="s">
        <v>45</v>
      </c>
      <c r="E30" s="40" t="s">
        <v>552</v>
      </c>
    </row>
    <row r="31" spans="1:5" ht="75" x14ac:dyDescent="0.25">
      <c r="A31" t="s">
        <v>43</v>
      </c>
      <c r="B31" s="40" t="s">
        <v>313</v>
      </c>
      <c r="D31" t="s">
        <v>255</v>
      </c>
      <c r="E31" s="40" t="s">
        <v>485</v>
      </c>
    </row>
    <row r="32" spans="1:5" ht="45" x14ac:dyDescent="0.25">
      <c r="A32" t="s">
        <v>26</v>
      </c>
      <c r="B32" s="40" t="s">
        <v>574</v>
      </c>
      <c r="D32" t="s">
        <v>546</v>
      </c>
      <c r="E32" s="40" t="s">
        <v>547</v>
      </c>
    </row>
    <row r="33" spans="1:5" ht="30" x14ac:dyDescent="0.25">
      <c r="A33" t="s">
        <v>125</v>
      </c>
      <c r="B33" s="40" t="s">
        <v>569</v>
      </c>
      <c r="D33" t="s">
        <v>38</v>
      </c>
      <c r="E33" s="40" t="s">
        <v>316</v>
      </c>
    </row>
    <row r="34" spans="1:5" ht="30" x14ac:dyDescent="0.25">
      <c r="A34" t="s">
        <v>14</v>
      </c>
      <c r="B34" s="40" t="s">
        <v>571</v>
      </c>
      <c r="D34" t="s">
        <v>64</v>
      </c>
      <c r="E34" s="40" t="s">
        <v>339</v>
      </c>
    </row>
    <row r="35" spans="1:5" ht="30" x14ac:dyDescent="0.25">
      <c r="A35" t="s">
        <v>246</v>
      </c>
      <c r="B35" s="40" t="s">
        <v>491</v>
      </c>
      <c r="D35" t="s">
        <v>62</v>
      </c>
      <c r="E35" s="40" t="s">
        <v>341</v>
      </c>
    </row>
    <row r="36" spans="1:5" x14ac:dyDescent="0.25">
      <c r="A36" t="s">
        <v>272</v>
      </c>
      <c r="B36" s="40" t="s">
        <v>514</v>
      </c>
      <c r="D36" t="s">
        <v>60</v>
      </c>
      <c r="E36" s="40" t="s">
        <v>343</v>
      </c>
    </row>
    <row r="37" spans="1:5" x14ac:dyDescent="0.25">
      <c r="A37" t="s">
        <v>274</v>
      </c>
      <c r="B37" s="40" t="s">
        <v>512</v>
      </c>
      <c r="D37" t="s">
        <v>56</v>
      </c>
      <c r="E37" s="40" t="s">
        <v>346</v>
      </c>
    </row>
    <row r="38" spans="1:5" x14ac:dyDescent="0.25">
      <c r="A38" t="s">
        <v>276</v>
      </c>
      <c r="B38" s="40" t="s">
        <v>608</v>
      </c>
      <c r="D38" t="s">
        <v>54</v>
      </c>
      <c r="E38" s="40" t="s">
        <v>305</v>
      </c>
    </row>
    <row r="39" spans="1:5" ht="60" x14ac:dyDescent="0.25">
      <c r="A39" t="s">
        <v>292</v>
      </c>
      <c r="B39" s="40" t="s">
        <v>499</v>
      </c>
      <c r="D39" t="s">
        <v>58</v>
      </c>
      <c r="E39" s="40" t="s">
        <v>345</v>
      </c>
    </row>
    <row r="40" spans="1:5" ht="30" x14ac:dyDescent="0.25">
      <c r="A40" t="s">
        <v>283</v>
      </c>
      <c r="B40" s="40" t="s">
        <v>508</v>
      </c>
      <c r="D40" t="s">
        <v>151</v>
      </c>
      <c r="E40" s="40" t="s">
        <v>411</v>
      </c>
    </row>
    <row r="41" spans="1:5" ht="75" x14ac:dyDescent="0.25">
      <c r="A41" t="s">
        <v>290</v>
      </c>
      <c r="B41" s="40" t="s">
        <v>501</v>
      </c>
      <c r="D41" t="s">
        <v>177</v>
      </c>
      <c r="E41" s="40" t="s">
        <v>441</v>
      </c>
    </row>
    <row r="42" spans="1:5" ht="75" x14ac:dyDescent="0.25">
      <c r="A42" t="s">
        <v>291</v>
      </c>
      <c r="B42" s="40" t="s">
        <v>500</v>
      </c>
      <c r="D42" t="s">
        <v>173</v>
      </c>
      <c r="E42" s="40" t="s">
        <v>389</v>
      </c>
    </row>
    <row r="43" spans="1:5" ht="60" x14ac:dyDescent="0.25">
      <c r="A43" t="s">
        <v>537</v>
      </c>
      <c r="B43" s="40" t="s">
        <v>538</v>
      </c>
      <c r="D43" t="s">
        <v>181</v>
      </c>
      <c r="E43" s="40" t="s">
        <v>437</v>
      </c>
    </row>
    <row r="44" spans="1:5" ht="30" x14ac:dyDescent="0.25">
      <c r="A44" t="s">
        <v>34</v>
      </c>
      <c r="B44" s="40" t="s">
        <v>538</v>
      </c>
      <c r="D44" t="s">
        <v>40</v>
      </c>
      <c r="E44" s="40" t="s">
        <v>545</v>
      </c>
    </row>
    <row r="45" spans="1:5" ht="30" x14ac:dyDescent="0.25">
      <c r="A45" t="s">
        <v>238</v>
      </c>
      <c r="B45" s="40" t="s">
        <v>442</v>
      </c>
      <c r="D45" t="s">
        <v>103</v>
      </c>
      <c r="E45" s="40" t="s">
        <v>355</v>
      </c>
    </row>
    <row r="46" spans="1:5" ht="45" x14ac:dyDescent="0.25">
      <c r="A46" t="s">
        <v>123</v>
      </c>
      <c r="B46" s="40" t="s">
        <v>378</v>
      </c>
      <c r="D46" t="s">
        <v>20</v>
      </c>
      <c r="E46" s="40" t="s">
        <v>357</v>
      </c>
    </row>
    <row r="47" spans="1:5" ht="30" x14ac:dyDescent="0.25">
      <c r="A47" t="s">
        <v>270</v>
      </c>
      <c r="B47" s="40" t="s">
        <v>470</v>
      </c>
      <c r="D47" t="s">
        <v>596</v>
      </c>
      <c r="E47" s="40" t="s">
        <v>597</v>
      </c>
    </row>
    <row r="48" spans="1:5" x14ac:dyDescent="0.25">
      <c r="A48" t="s">
        <v>228</v>
      </c>
      <c r="B48" s="40" t="s">
        <v>451</v>
      </c>
      <c r="D48" t="s">
        <v>209</v>
      </c>
      <c r="E48" s="40" t="s">
        <v>597</v>
      </c>
    </row>
    <row r="49" spans="1:5" x14ac:dyDescent="0.25">
      <c r="A49" t="s">
        <v>226</v>
      </c>
      <c r="B49" s="40" t="s">
        <v>453</v>
      </c>
      <c r="D49" t="s">
        <v>203</v>
      </c>
      <c r="E49" s="40" t="s">
        <v>420</v>
      </c>
    </row>
    <row r="50" spans="1:5" ht="30" x14ac:dyDescent="0.25">
      <c r="A50" t="s">
        <v>230</v>
      </c>
      <c r="B50" s="40" t="s">
        <v>449</v>
      </c>
      <c r="D50" t="s">
        <v>257</v>
      </c>
      <c r="E50" s="40" t="s">
        <v>483</v>
      </c>
    </row>
    <row r="51" spans="1:5" ht="30" x14ac:dyDescent="0.25">
      <c r="A51" t="s">
        <v>264</v>
      </c>
      <c r="B51" s="40" t="s">
        <v>474</v>
      </c>
      <c r="D51" t="s">
        <v>259</v>
      </c>
      <c r="E51" s="40" t="s">
        <v>481</v>
      </c>
    </row>
    <row r="52" spans="1:5" ht="30" x14ac:dyDescent="0.25">
      <c r="A52" t="s">
        <v>190</v>
      </c>
      <c r="B52" s="40" t="s">
        <v>429</v>
      </c>
      <c r="D52" t="s">
        <v>116</v>
      </c>
      <c r="E52" s="40" t="s">
        <v>348</v>
      </c>
    </row>
    <row r="53" spans="1:5" ht="30" x14ac:dyDescent="0.25">
      <c r="A53" t="s">
        <v>224</v>
      </c>
      <c r="B53" s="40" t="s">
        <v>455</v>
      </c>
      <c r="D53" t="s">
        <v>114</v>
      </c>
      <c r="E53" s="40" t="s">
        <v>350</v>
      </c>
    </row>
    <row r="54" spans="1:5" ht="45" x14ac:dyDescent="0.25">
      <c r="A54" t="s">
        <v>266</v>
      </c>
      <c r="B54" s="40" t="s">
        <v>606</v>
      </c>
      <c r="D54" t="s">
        <v>261</v>
      </c>
      <c r="E54" s="40" t="s">
        <v>479</v>
      </c>
    </row>
    <row r="55" spans="1:5" ht="30" x14ac:dyDescent="0.25">
      <c r="A55" t="s">
        <v>268</v>
      </c>
      <c r="B55" s="40" t="s">
        <v>607</v>
      </c>
      <c r="D55" t="s">
        <v>263</v>
      </c>
      <c r="E55" s="40" t="s">
        <v>477</v>
      </c>
    </row>
    <row r="56" spans="1:5" ht="30" x14ac:dyDescent="0.25">
      <c r="A56" t="s">
        <v>141</v>
      </c>
      <c r="B56" s="40" t="s">
        <v>581</v>
      </c>
      <c r="D56" t="s">
        <v>96</v>
      </c>
      <c r="E56" s="40" t="s">
        <v>363</v>
      </c>
    </row>
    <row r="57" spans="1:5" ht="30" x14ac:dyDescent="0.25">
      <c r="A57" t="s">
        <v>41</v>
      </c>
      <c r="B57" s="40" t="s">
        <v>314</v>
      </c>
      <c r="D57" t="s">
        <v>92</v>
      </c>
      <c r="E57" s="40" t="s">
        <v>560</v>
      </c>
    </row>
    <row r="58" spans="1:5" ht="30" x14ac:dyDescent="0.25">
      <c r="A58" t="s">
        <v>95</v>
      </c>
      <c r="B58" s="40" t="s">
        <v>362</v>
      </c>
      <c r="D58" t="s">
        <v>78</v>
      </c>
      <c r="E58" s="40" t="s">
        <v>325</v>
      </c>
    </row>
    <row r="59" spans="1:5" ht="45" x14ac:dyDescent="0.25">
      <c r="A59" t="s">
        <v>97</v>
      </c>
      <c r="B59" s="40" t="s">
        <v>360</v>
      </c>
      <c r="D59" t="s">
        <v>88</v>
      </c>
      <c r="E59" s="40" t="s">
        <v>558</v>
      </c>
    </row>
    <row r="60" spans="1:5" ht="45" x14ac:dyDescent="0.25">
      <c r="A60" t="s">
        <v>99</v>
      </c>
      <c r="B60" s="40" t="s">
        <v>358</v>
      </c>
      <c r="D60" t="s">
        <v>74</v>
      </c>
      <c r="E60" s="40" t="s">
        <v>329</v>
      </c>
    </row>
    <row r="61" spans="1:5" ht="45" x14ac:dyDescent="0.25">
      <c r="A61" t="s">
        <v>101</v>
      </c>
      <c r="B61" s="40" t="s">
        <v>356</v>
      </c>
      <c r="D61" t="s">
        <v>82</v>
      </c>
      <c r="E61" s="40" t="s">
        <v>321</v>
      </c>
    </row>
    <row r="62" spans="1:5" ht="45" x14ac:dyDescent="0.25">
      <c r="A62" t="s">
        <v>55</v>
      </c>
      <c r="B62" s="40" t="s">
        <v>554</v>
      </c>
      <c r="D62" t="s">
        <v>144</v>
      </c>
      <c r="E62" s="40" t="s">
        <v>369</v>
      </c>
    </row>
    <row r="63" spans="1:5" ht="30" x14ac:dyDescent="0.25">
      <c r="A63" t="s">
        <v>172</v>
      </c>
      <c r="B63" s="40" t="s">
        <v>388</v>
      </c>
      <c r="D63" t="s">
        <v>555</v>
      </c>
      <c r="E63" s="40" t="s">
        <v>556</v>
      </c>
    </row>
    <row r="64" spans="1:5" ht="75" x14ac:dyDescent="0.25">
      <c r="A64" t="s">
        <v>284</v>
      </c>
      <c r="B64" s="40" t="s">
        <v>507</v>
      </c>
      <c r="D64" t="s">
        <v>84</v>
      </c>
      <c r="E64" s="40" t="s">
        <v>556</v>
      </c>
    </row>
    <row r="65" spans="1:5" ht="30" x14ac:dyDescent="0.25">
      <c r="A65" t="s">
        <v>301</v>
      </c>
      <c r="B65" s="40" t="s">
        <v>517</v>
      </c>
      <c r="D65" t="s">
        <v>94</v>
      </c>
      <c r="E65" s="40" t="s">
        <v>365</v>
      </c>
    </row>
    <row r="66" spans="1:5" ht="45" x14ac:dyDescent="0.25">
      <c r="A66" t="s">
        <v>302</v>
      </c>
      <c r="B66" s="40" t="s">
        <v>516</v>
      </c>
      <c r="D66" t="s">
        <v>90</v>
      </c>
      <c r="E66" s="40" t="s">
        <v>559</v>
      </c>
    </row>
    <row r="67" spans="1:5" ht="45" x14ac:dyDescent="0.25">
      <c r="A67" t="s">
        <v>300</v>
      </c>
      <c r="B67" s="40" t="s">
        <v>518</v>
      </c>
      <c r="D67" t="s">
        <v>76</v>
      </c>
      <c r="E67" s="40" t="s">
        <v>327</v>
      </c>
    </row>
    <row r="68" spans="1:5" ht="45" x14ac:dyDescent="0.25">
      <c r="A68" t="s">
        <v>109</v>
      </c>
      <c r="B68" s="40" t="s">
        <v>352</v>
      </c>
      <c r="D68" t="s">
        <v>86</v>
      </c>
      <c r="E68" s="40" t="s">
        <v>557</v>
      </c>
    </row>
    <row r="69" spans="1:5" ht="75" x14ac:dyDescent="0.25">
      <c r="A69" t="s">
        <v>295</v>
      </c>
      <c r="B69" s="40" t="s">
        <v>520</v>
      </c>
      <c r="D69" t="s">
        <v>72</v>
      </c>
      <c r="E69" s="40" t="s">
        <v>331</v>
      </c>
    </row>
    <row r="70" spans="1:5" ht="60" x14ac:dyDescent="0.25">
      <c r="A70" t="s">
        <v>296</v>
      </c>
      <c r="B70" s="40" t="s">
        <v>612</v>
      </c>
      <c r="D70" t="s">
        <v>80</v>
      </c>
      <c r="E70" s="40" t="s">
        <v>323</v>
      </c>
    </row>
    <row r="71" spans="1:5" x14ac:dyDescent="0.25">
      <c r="A71" t="s">
        <v>297</v>
      </c>
      <c r="B71" s="40" t="s">
        <v>519</v>
      </c>
      <c r="D71" t="s">
        <v>49</v>
      </c>
      <c r="E71" s="40" t="s">
        <v>310</v>
      </c>
    </row>
    <row r="72" spans="1:5" ht="45" x14ac:dyDescent="0.25">
      <c r="A72" t="s">
        <v>111</v>
      </c>
      <c r="B72" s="40" t="s">
        <v>351</v>
      </c>
      <c r="D72" t="s">
        <v>227</v>
      </c>
      <c r="E72" s="40" t="s">
        <v>454</v>
      </c>
    </row>
    <row r="73" spans="1:5" ht="30" x14ac:dyDescent="0.25">
      <c r="A73" t="s">
        <v>617</v>
      </c>
      <c r="B73" s="40" t="s">
        <v>618</v>
      </c>
      <c r="D73" t="s">
        <v>233</v>
      </c>
      <c r="E73" s="40" t="s">
        <v>448</v>
      </c>
    </row>
    <row r="74" spans="1:5" ht="45" x14ac:dyDescent="0.25">
      <c r="A74" t="s">
        <v>143</v>
      </c>
      <c r="B74" s="40" t="s">
        <v>582</v>
      </c>
      <c r="D74" t="s">
        <v>235</v>
      </c>
      <c r="E74" s="40" t="s">
        <v>446</v>
      </c>
    </row>
    <row r="75" spans="1:5" ht="75" x14ac:dyDescent="0.25">
      <c r="A75" t="s">
        <v>28</v>
      </c>
      <c r="B75" s="40" t="s">
        <v>553</v>
      </c>
      <c r="D75" t="s">
        <v>243</v>
      </c>
      <c r="E75" s="40" t="s">
        <v>496</v>
      </c>
    </row>
    <row r="76" spans="1:5" x14ac:dyDescent="0.25">
      <c r="A76" t="s">
        <v>186</v>
      </c>
      <c r="B76" s="40" t="s">
        <v>432</v>
      </c>
      <c r="D76" t="s">
        <v>237</v>
      </c>
      <c r="E76" s="40" t="s">
        <v>444</v>
      </c>
    </row>
    <row r="77" spans="1:5" x14ac:dyDescent="0.25">
      <c r="A77" t="s">
        <v>222</v>
      </c>
      <c r="B77" s="40" t="s">
        <v>457</v>
      </c>
      <c r="D77" t="s">
        <v>239</v>
      </c>
      <c r="E77" s="40" t="s">
        <v>443</v>
      </c>
    </row>
    <row r="78" spans="1:5" ht="45" x14ac:dyDescent="0.25">
      <c r="A78" t="s">
        <v>145</v>
      </c>
      <c r="B78" s="40" t="s">
        <v>414</v>
      </c>
      <c r="D78" t="s">
        <v>241</v>
      </c>
      <c r="E78" s="40" t="s">
        <v>498</v>
      </c>
    </row>
    <row r="79" spans="1:5" ht="60" x14ac:dyDescent="0.25">
      <c r="A79" t="s">
        <v>133</v>
      </c>
      <c r="B79" s="40" t="s">
        <v>575</v>
      </c>
      <c r="D79" t="s">
        <v>70</v>
      </c>
      <c r="E79" s="40" t="s">
        <v>333</v>
      </c>
    </row>
    <row r="80" spans="1:5" ht="60" x14ac:dyDescent="0.25">
      <c r="A80" t="s">
        <v>135</v>
      </c>
      <c r="B80" s="40" t="s">
        <v>578</v>
      </c>
      <c r="D80" t="s">
        <v>265</v>
      </c>
      <c r="E80" s="40" t="s">
        <v>475</v>
      </c>
    </row>
    <row r="81" spans="1:5" ht="90" x14ac:dyDescent="0.25">
      <c r="A81" t="s">
        <v>46</v>
      </c>
      <c r="B81" s="40" t="s">
        <v>311</v>
      </c>
      <c r="D81" t="s">
        <v>535</v>
      </c>
      <c r="E81" s="40" t="s">
        <v>536</v>
      </c>
    </row>
    <row r="82" spans="1:5" ht="30" x14ac:dyDescent="0.25">
      <c r="A82" t="s">
        <v>30</v>
      </c>
      <c r="B82" s="40" t="s">
        <v>373</v>
      </c>
      <c r="D82" t="s">
        <v>33</v>
      </c>
      <c r="E82" s="40" t="s">
        <v>536</v>
      </c>
    </row>
    <row r="83" spans="1:5" ht="30" x14ac:dyDescent="0.25">
      <c r="A83" t="s">
        <v>285</v>
      </c>
      <c r="B83" s="40" t="s">
        <v>506</v>
      </c>
      <c r="D83" t="s">
        <v>47</v>
      </c>
      <c r="E83" s="40" t="s">
        <v>312</v>
      </c>
    </row>
    <row r="84" spans="1:5" ht="30" x14ac:dyDescent="0.25">
      <c r="A84" t="s">
        <v>113</v>
      </c>
      <c r="B84" s="40" t="s">
        <v>349</v>
      </c>
      <c r="D84" t="s">
        <v>155</v>
      </c>
      <c r="E84" s="40" t="s">
        <v>407</v>
      </c>
    </row>
    <row r="85" spans="1:5" ht="30" x14ac:dyDescent="0.25">
      <c r="A85" t="s">
        <v>119</v>
      </c>
      <c r="B85" s="40" t="s">
        <v>382</v>
      </c>
      <c r="D85" t="s">
        <v>148</v>
      </c>
      <c r="E85" s="40" t="s">
        <v>413</v>
      </c>
    </row>
    <row r="86" spans="1:5" ht="60" x14ac:dyDescent="0.25">
      <c r="A86" t="s">
        <v>121</v>
      </c>
      <c r="B86" s="40" t="s">
        <v>380</v>
      </c>
      <c r="D86" t="s">
        <v>146</v>
      </c>
      <c r="E86" s="40" t="s">
        <v>415</v>
      </c>
    </row>
    <row r="87" spans="1:5" ht="45" x14ac:dyDescent="0.25">
      <c r="A87" t="s">
        <v>115</v>
      </c>
      <c r="B87" s="40" t="s">
        <v>347</v>
      </c>
      <c r="D87" t="s">
        <v>100</v>
      </c>
      <c r="E87" s="40" t="s">
        <v>359</v>
      </c>
    </row>
    <row r="88" spans="1:5" ht="30" x14ac:dyDescent="0.25">
      <c r="A88" t="s">
        <v>117</v>
      </c>
      <c r="B88" s="40" t="s">
        <v>384</v>
      </c>
      <c r="D88" t="s">
        <v>21</v>
      </c>
      <c r="E88" s="40" t="s">
        <v>354</v>
      </c>
    </row>
    <row r="89" spans="1:5" ht="45" x14ac:dyDescent="0.25">
      <c r="A89" t="s">
        <v>280</v>
      </c>
      <c r="B89" s="40" t="s">
        <v>610</v>
      </c>
      <c r="D89" t="s">
        <v>565</v>
      </c>
      <c r="E89" s="40" t="s">
        <v>566</v>
      </c>
    </row>
    <row r="90" spans="1:5" ht="45" x14ac:dyDescent="0.25">
      <c r="A90" t="s">
        <v>137</v>
      </c>
      <c r="B90" s="40" t="s">
        <v>579</v>
      </c>
      <c r="D90" t="s">
        <v>106</v>
      </c>
      <c r="E90" s="40" t="s">
        <v>566</v>
      </c>
    </row>
    <row r="91" spans="1:5" ht="75" x14ac:dyDescent="0.25">
      <c r="A91" t="s">
        <v>139</v>
      </c>
      <c r="B91" s="40" t="s">
        <v>580</v>
      </c>
      <c r="D91" t="s">
        <v>539</v>
      </c>
      <c r="E91" s="40" t="s">
        <v>540</v>
      </c>
    </row>
    <row r="92" spans="1:5" ht="45" x14ac:dyDescent="0.25">
      <c r="A92" t="s">
        <v>194</v>
      </c>
      <c r="B92" s="40" t="s">
        <v>425</v>
      </c>
      <c r="D92" t="s">
        <v>35</v>
      </c>
      <c r="E92" s="40" t="s">
        <v>540</v>
      </c>
    </row>
    <row r="93" spans="1:5" ht="45" x14ac:dyDescent="0.25">
      <c r="A93" t="s">
        <v>288</v>
      </c>
      <c r="B93" s="40" t="s">
        <v>503</v>
      </c>
      <c r="D93" t="s">
        <v>131</v>
      </c>
      <c r="E93" s="40" t="s">
        <v>374</v>
      </c>
    </row>
    <row r="94" spans="1:5" ht="45" x14ac:dyDescent="0.25">
      <c r="A94" t="s">
        <v>619</v>
      </c>
      <c r="B94" s="40" t="s">
        <v>620</v>
      </c>
      <c r="D94" t="s">
        <v>576</v>
      </c>
      <c r="E94" s="40" t="s">
        <v>577</v>
      </c>
    </row>
    <row r="95" spans="1:5" ht="60" x14ac:dyDescent="0.25">
      <c r="A95" t="s">
        <v>289</v>
      </c>
      <c r="B95" s="40" t="s">
        <v>502</v>
      </c>
      <c r="D95" t="s">
        <v>126</v>
      </c>
      <c r="E95" s="40" t="s">
        <v>577</v>
      </c>
    </row>
    <row r="96" spans="1:5" ht="60" x14ac:dyDescent="0.25">
      <c r="A96" t="s">
        <v>286</v>
      </c>
      <c r="B96" s="40" t="s">
        <v>505</v>
      </c>
      <c r="D96" t="s">
        <v>159</v>
      </c>
      <c r="E96" s="40" t="s">
        <v>403</v>
      </c>
    </row>
    <row r="97" spans="1:5" ht="60" x14ac:dyDescent="0.25">
      <c r="A97" t="s">
        <v>287</v>
      </c>
      <c r="B97" s="40" t="s">
        <v>504</v>
      </c>
      <c r="D97" t="s">
        <v>231</v>
      </c>
      <c r="E97" s="40" t="s">
        <v>450</v>
      </c>
    </row>
    <row r="98" spans="1:5" ht="30" x14ac:dyDescent="0.25">
      <c r="A98" t="s">
        <v>105</v>
      </c>
      <c r="B98" s="40" t="s">
        <v>563</v>
      </c>
      <c r="D98" t="s">
        <v>217</v>
      </c>
      <c r="E98" s="40" t="s">
        <v>463</v>
      </c>
    </row>
    <row r="99" spans="1:5" ht="30" x14ac:dyDescent="0.25">
      <c r="A99" t="s">
        <v>107</v>
      </c>
      <c r="B99" s="40" t="s">
        <v>564</v>
      </c>
      <c r="D99" t="s">
        <v>68</v>
      </c>
      <c r="E99" s="40" t="s">
        <v>335</v>
      </c>
    </row>
    <row r="100" spans="1:5" ht="90" x14ac:dyDescent="0.25">
      <c r="A100" t="s">
        <v>196</v>
      </c>
      <c r="B100" s="40" t="s">
        <v>592</v>
      </c>
      <c r="D100" t="s">
        <v>66</v>
      </c>
      <c r="E100" s="40" t="s">
        <v>337</v>
      </c>
    </row>
    <row r="101" spans="1:5" ht="45" x14ac:dyDescent="0.25">
      <c r="A101" t="s">
        <v>174</v>
      </c>
      <c r="B101" s="40" t="s">
        <v>386</v>
      </c>
      <c r="D101" t="s">
        <v>183</v>
      </c>
      <c r="E101" s="40" t="s">
        <v>434</v>
      </c>
    </row>
    <row r="102" spans="1:5" ht="30" x14ac:dyDescent="0.25">
      <c r="A102" t="s">
        <v>176</v>
      </c>
      <c r="B102" s="40" t="s">
        <v>440</v>
      </c>
      <c r="D102" t="s">
        <v>191</v>
      </c>
      <c r="E102" s="40" t="s">
        <v>428</v>
      </c>
    </row>
    <row r="103" spans="1:5" ht="45" x14ac:dyDescent="0.25">
      <c r="A103" t="s">
        <v>178</v>
      </c>
      <c r="B103" s="40" t="s">
        <v>438</v>
      </c>
      <c r="D103" t="s">
        <v>128</v>
      </c>
      <c r="E103" s="40" t="s">
        <v>377</v>
      </c>
    </row>
    <row r="104" spans="1:5" ht="30" x14ac:dyDescent="0.25">
      <c r="A104" t="s">
        <v>180</v>
      </c>
      <c r="B104" s="40" t="s">
        <v>436</v>
      </c>
      <c r="D104" t="s">
        <v>132</v>
      </c>
      <c r="E104" s="40" t="s">
        <v>583</v>
      </c>
    </row>
    <row r="105" spans="1:5" ht="60" x14ac:dyDescent="0.25">
      <c r="A105" t="s">
        <v>182</v>
      </c>
      <c r="B105" s="40" t="s">
        <v>435</v>
      </c>
      <c r="D105" t="s">
        <v>138</v>
      </c>
      <c r="E105" s="40" t="s">
        <v>370</v>
      </c>
    </row>
    <row r="106" spans="1:5" ht="45" x14ac:dyDescent="0.25">
      <c r="A106" t="s">
        <v>184</v>
      </c>
      <c r="B106" s="40" t="s">
        <v>433</v>
      </c>
      <c r="D106" t="s">
        <v>136</v>
      </c>
      <c r="E106" s="40" t="s">
        <v>371</v>
      </c>
    </row>
    <row r="107" spans="1:5" ht="45" x14ac:dyDescent="0.25">
      <c r="A107" t="s">
        <v>192</v>
      </c>
      <c r="B107" s="40" t="s">
        <v>427</v>
      </c>
      <c r="D107" t="s">
        <v>142</v>
      </c>
      <c r="E107" s="40" t="s">
        <v>591</v>
      </c>
    </row>
    <row r="108" spans="1:5" ht="45" x14ac:dyDescent="0.25">
      <c r="A108" t="s">
        <v>244</v>
      </c>
      <c r="B108" s="40" t="s">
        <v>493</v>
      </c>
      <c r="D108" t="s">
        <v>140</v>
      </c>
      <c r="E108" s="40" t="s">
        <v>590</v>
      </c>
    </row>
    <row r="109" spans="1:5" ht="75" x14ac:dyDescent="0.25">
      <c r="A109" t="s">
        <v>242</v>
      </c>
      <c r="B109" s="40" t="s">
        <v>495</v>
      </c>
      <c r="D109" t="s">
        <v>130</v>
      </c>
      <c r="E109" s="40" t="s">
        <v>375</v>
      </c>
    </row>
    <row r="110" spans="1:5" ht="45" x14ac:dyDescent="0.25">
      <c r="A110" t="s">
        <v>240</v>
      </c>
      <c r="B110" s="40" t="s">
        <v>497</v>
      </c>
      <c r="D110" t="s">
        <v>118</v>
      </c>
      <c r="E110" s="40" t="s">
        <v>385</v>
      </c>
    </row>
    <row r="111" spans="1:5" ht="60" x14ac:dyDescent="0.25">
      <c r="A111" t="s">
        <v>39</v>
      </c>
      <c r="B111" s="40" t="s">
        <v>315</v>
      </c>
      <c r="D111" t="s">
        <v>573</v>
      </c>
      <c r="E111" s="40" t="s">
        <v>379</v>
      </c>
    </row>
    <row r="112" spans="1:5" ht="60" x14ac:dyDescent="0.25">
      <c r="A112" t="s">
        <v>29</v>
      </c>
      <c r="B112" s="40" t="s">
        <v>572</v>
      </c>
      <c r="D112" t="s">
        <v>120</v>
      </c>
      <c r="E112" s="40" t="s">
        <v>383</v>
      </c>
    </row>
    <row r="113" spans="1:5" ht="45" x14ac:dyDescent="0.25">
      <c r="A113" t="s">
        <v>147</v>
      </c>
      <c r="B113" s="40" t="s">
        <v>584</v>
      </c>
      <c r="D113" t="s">
        <v>124</v>
      </c>
      <c r="E113" s="40" t="s">
        <v>379</v>
      </c>
    </row>
    <row r="114" spans="1:5" ht="45" x14ac:dyDescent="0.25">
      <c r="A114" t="s">
        <v>220</v>
      </c>
      <c r="B114" s="40" t="s">
        <v>459</v>
      </c>
      <c r="D114" t="s">
        <v>163</v>
      </c>
      <c r="E114" s="40" t="s">
        <v>399</v>
      </c>
    </row>
    <row r="115" spans="1:5" ht="60" x14ac:dyDescent="0.25">
      <c r="A115" t="s">
        <v>218</v>
      </c>
      <c r="B115" s="40" t="s">
        <v>461</v>
      </c>
      <c r="D115" t="s">
        <v>167</v>
      </c>
      <c r="E115" s="40" t="s">
        <v>395</v>
      </c>
    </row>
    <row r="116" spans="1:5" ht="30" x14ac:dyDescent="0.25">
      <c r="A116" t="s">
        <v>149</v>
      </c>
      <c r="B116" s="40" t="s">
        <v>589</v>
      </c>
      <c r="D116" t="s">
        <v>549</v>
      </c>
      <c r="E116" s="40" t="s">
        <v>550</v>
      </c>
    </row>
    <row r="117" spans="1:5" ht="60" x14ac:dyDescent="0.25">
      <c r="A117" t="s">
        <v>204</v>
      </c>
      <c r="B117" s="40" t="s">
        <v>417</v>
      </c>
      <c r="D117" t="s">
        <v>542</v>
      </c>
      <c r="E117" s="40" t="s">
        <v>317</v>
      </c>
    </row>
    <row r="118" spans="1:5" ht="30" x14ac:dyDescent="0.25">
      <c r="A118" t="s">
        <v>208</v>
      </c>
      <c r="B118" s="40" t="s">
        <v>469</v>
      </c>
      <c r="D118" t="s">
        <v>594</v>
      </c>
      <c r="E118" s="40" t="s">
        <v>595</v>
      </c>
    </row>
    <row r="119" spans="1:5" ht="30" x14ac:dyDescent="0.25">
      <c r="A119" t="s">
        <v>200</v>
      </c>
      <c r="B119" s="40" t="s">
        <v>593</v>
      </c>
      <c r="D119" t="s">
        <v>98</v>
      </c>
      <c r="E119" s="40" t="s">
        <v>361</v>
      </c>
    </row>
    <row r="120" spans="1:5" ht="30" x14ac:dyDescent="0.25">
      <c r="A120" t="s">
        <v>202</v>
      </c>
      <c r="B120" s="40" t="s">
        <v>419</v>
      </c>
      <c r="D120" t="s">
        <v>245</v>
      </c>
      <c r="E120" s="40" t="s">
        <v>494</v>
      </c>
    </row>
    <row r="121" spans="1:5" ht="30" x14ac:dyDescent="0.25">
      <c r="A121" t="s">
        <v>206</v>
      </c>
      <c r="B121" s="40" t="s">
        <v>416</v>
      </c>
      <c r="D121" t="s">
        <v>604</v>
      </c>
      <c r="E121" s="40" t="s">
        <v>605</v>
      </c>
    </row>
    <row r="122" spans="1:5" ht="45" x14ac:dyDescent="0.25">
      <c r="A122" t="s">
        <v>198</v>
      </c>
      <c r="B122" s="40" t="s">
        <v>422</v>
      </c>
      <c r="D122" t="s">
        <v>249</v>
      </c>
      <c r="E122" s="40" t="s">
        <v>605</v>
      </c>
    </row>
    <row r="123" spans="1:5" ht="90" x14ac:dyDescent="0.25">
      <c r="A123" t="s">
        <v>188</v>
      </c>
      <c r="B123" s="40" t="s">
        <v>430</v>
      </c>
      <c r="D123" t="s">
        <v>171</v>
      </c>
      <c r="E123" s="40" t="s">
        <v>391</v>
      </c>
    </row>
    <row r="124" spans="1:5" ht="75" x14ac:dyDescent="0.25">
      <c r="A124" t="s">
        <v>533</v>
      </c>
      <c r="B124" s="40" t="s">
        <v>534</v>
      </c>
      <c r="D124" t="s">
        <v>110</v>
      </c>
      <c r="E124" s="40" t="s">
        <v>567</v>
      </c>
    </row>
    <row r="125" spans="1:5" ht="45" x14ac:dyDescent="0.25">
      <c r="A125" t="s">
        <v>543</v>
      </c>
      <c r="B125" s="40" t="s">
        <v>544</v>
      </c>
      <c r="D125" t="s">
        <v>195</v>
      </c>
      <c r="E125" s="40" t="s">
        <v>426</v>
      </c>
    </row>
    <row r="126" spans="1:5" ht="30" x14ac:dyDescent="0.25">
      <c r="A126" t="s">
        <v>602</v>
      </c>
      <c r="B126" s="40" t="s">
        <v>603</v>
      </c>
      <c r="D126" t="s">
        <v>44</v>
      </c>
      <c r="E126" s="40" t="s">
        <v>550</v>
      </c>
    </row>
    <row r="127" spans="1:5" ht="45" x14ac:dyDescent="0.25">
      <c r="A127" t="s">
        <v>168</v>
      </c>
      <c r="B127" s="40" t="s">
        <v>392</v>
      </c>
      <c r="D127" t="s">
        <v>199</v>
      </c>
      <c r="E127" s="40" t="s">
        <v>423</v>
      </c>
    </row>
    <row r="128" spans="1:5" ht="30" x14ac:dyDescent="0.25">
      <c r="A128" t="s">
        <v>164</v>
      </c>
      <c r="B128" s="40" t="s">
        <v>396</v>
      </c>
      <c r="D128" t="s">
        <v>225</v>
      </c>
      <c r="E128" s="40" t="s">
        <v>456</v>
      </c>
    </row>
    <row r="129" spans="1:5" ht="45" x14ac:dyDescent="0.25">
      <c r="A129" t="s">
        <v>152</v>
      </c>
      <c r="B129" s="40" t="s">
        <v>408</v>
      </c>
      <c r="D129" t="s">
        <v>215</v>
      </c>
      <c r="E129" s="40" t="s">
        <v>465</v>
      </c>
    </row>
    <row r="130" spans="1:5" ht="45" x14ac:dyDescent="0.25">
      <c r="A130" t="s">
        <v>150</v>
      </c>
      <c r="B130" s="40" t="s">
        <v>410</v>
      </c>
      <c r="D130" t="s">
        <v>600</v>
      </c>
      <c r="E130" s="40" t="s">
        <v>601</v>
      </c>
    </row>
    <row r="131" spans="1:5" ht="45" x14ac:dyDescent="0.25">
      <c r="A131" t="s">
        <v>170</v>
      </c>
      <c r="B131" s="40" t="s">
        <v>390</v>
      </c>
      <c r="D131" t="s">
        <v>219</v>
      </c>
      <c r="E131" s="40" t="s">
        <v>601</v>
      </c>
    </row>
    <row r="132" spans="1:5" ht="60" x14ac:dyDescent="0.25">
      <c r="A132" t="s">
        <v>154</v>
      </c>
      <c r="B132" s="40" t="s">
        <v>406</v>
      </c>
      <c r="D132" t="s">
        <v>211</v>
      </c>
      <c r="E132" s="40" t="s">
        <v>468</v>
      </c>
    </row>
    <row r="133" spans="1:5" ht="45" x14ac:dyDescent="0.25">
      <c r="A133" t="s">
        <v>166</v>
      </c>
      <c r="B133" s="40" t="s">
        <v>394</v>
      </c>
      <c r="D133" t="s">
        <v>221</v>
      </c>
      <c r="E133" s="40" t="s">
        <v>460</v>
      </c>
    </row>
    <row r="134" spans="1:5" ht="45" x14ac:dyDescent="0.25">
      <c r="A134" t="s">
        <v>156</v>
      </c>
      <c r="B134" s="40" t="s">
        <v>404</v>
      </c>
      <c r="D134" t="s">
        <v>598</v>
      </c>
      <c r="E134" s="40" t="s">
        <v>599</v>
      </c>
    </row>
    <row r="135" spans="1:5" ht="45" x14ac:dyDescent="0.25">
      <c r="A135" t="s">
        <v>158</v>
      </c>
      <c r="B135" s="40" t="s">
        <v>402</v>
      </c>
      <c r="D135" t="s">
        <v>213</v>
      </c>
      <c r="E135" s="40" t="s">
        <v>599</v>
      </c>
    </row>
    <row r="136" spans="1:5" ht="45" x14ac:dyDescent="0.25">
      <c r="A136" t="s">
        <v>160</v>
      </c>
      <c r="B136" s="40" t="s">
        <v>400</v>
      </c>
      <c r="D136" t="s">
        <v>223</v>
      </c>
      <c r="E136" s="40" t="s">
        <v>458</v>
      </c>
    </row>
    <row r="137" spans="1:5" ht="30" x14ac:dyDescent="0.25">
      <c r="A137" t="s">
        <v>162</v>
      </c>
      <c r="B137" s="40" t="s">
        <v>398</v>
      </c>
      <c r="D137" t="s">
        <v>189</v>
      </c>
      <c r="E137" s="40" t="s">
        <v>431</v>
      </c>
    </row>
    <row r="138" spans="1:5" ht="30" x14ac:dyDescent="0.25">
      <c r="A138" t="s">
        <v>256</v>
      </c>
      <c r="B138" s="40" t="s">
        <v>482</v>
      </c>
      <c r="D138" t="s">
        <v>201</v>
      </c>
      <c r="E138" s="40" t="s">
        <v>421</v>
      </c>
    </row>
    <row r="139" spans="1:5" ht="45" x14ac:dyDescent="0.25">
      <c r="A139" t="s">
        <v>250</v>
      </c>
      <c r="B139" s="40" t="s">
        <v>488</v>
      </c>
      <c r="D139" t="s">
        <v>108</v>
      </c>
      <c r="E139" s="40" t="s">
        <v>353</v>
      </c>
    </row>
    <row r="140" spans="1:5" ht="45" x14ac:dyDescent="0.25">
      <c r="A140" t="s">
        <v>248</v>
      </c>
      <c r="B140" s="40" t="s">
        <v>490</v>
      </c>
      <c r="D140" t="s">
        <v>229</v>
      </c>
      <c r="E140" s="40" t="s">
        <v>452</v>
      </c>
    </row>
    <row r="141" spans="1:5" ht="60" x14ac:dyDescent="0.25">
      <c r="A141" t="s">
        <v>252</v>
      </c>
      <c r="B141" s="40" t="s">
        <v>486</v>
      </c>
      <c r="D141" t="s">
        <v>187</v>
      </c>
      <c r="E141" s="40" t="s">
        <v>431</v>
      </c>
    </row>
    <row r="142" spans="1:5" ht="75" x14ac:dyDescent="0.25">
      <c r="A142" t="s">
        <v>254</v>
      </c>
      <c r="B142" s="40" t="s">
        <v>484</v>
      </c>
      <c r="D142" t="s">
        <v>247</v>
      </c>
      <c r="E142" s="40" t="s">
        <v>492</v>
      </c>
    </row>
    <row r="143" spans="1:5" ht="60" x14ac:dyDescent="0.25">
      <c r="A143" t="s">
        <v>53</v>
      </c>
      <c r="B143" s="40" t="s">
        <v>304</v>
      </c>
      <c r="D143" t="s">
        <v>531</v>
      </c>
      <c r="E143" s="40" t="s">
        <v>532</v>
      </c>
    </row>
    <row r="144" spans="1:5" ht="90" x14ac:dyDescent="0.25">
      <c r="A144" t="s">
        <v>27</v>
      </c>
      <c r="B144" s="40" t="s">
        <v>548</v>
      </c>
      <c r="D144" t="s">
        <v>253</v>
      </c>
      <c r="E144" s="40" t="s">
        <v>487</v>
      </c>
    </row>
    <row r="145" spans="1:5" x14ac:dyDescent="0.25">
      <c r="A145" t="s">
        <v>48</v>
      </c>
      <c r="B145" s="40" t="s">
        <v>309</v>
      </c>
      <c r="D145" t="s">
        <v>251</v>
      </c>
      <c r="E145" s="40" t="s">
        <v>489</v>
      </c>
    </row>
    <row r="146" spans="1:5" ht="45" x14ac:dyDescent="0.25">
      <c r="A146" t="s">
        <v>585</v>
      </c>
      <c r="B146" s="40" t="s">
        <v>586</v>
      </c>
      <c r="D146" t="s">
        <v>42</v>
      </c>
      <c r="E146" s="40" t="s">
        <v>547</v>
      </c>
    </row>
    <row r="147" spans="1:5" ht="30" x14ac:dyDescent="0.25">
      <c r="A147" t="s">
        <v>587</v>
      </c>
      <c r="B147" s="40" t="s">
        <v>588</v>
      </c>
      <c r="D147" t="s">
        <v>19</v>
      </c>
      <c r="E147" s="40" t="s">
        <v>532</v>
      </c>
    </row>
    <row r="148" spans="1:5" ht="45" x14ac:dyDescent="0.25">
      <c r="A148" t="s">
        <v>127</v>
      </c>
      <c r="B148" s="40" t="s">
        <v>570</v>
      </c>
      <c r="D148" t="s">
        <v>18</v>
      </c>
      <c r="E148" s="40" t="s">
        <v>317</v>
      </c>
    </row>
    <row r="149" spans="1:5" ht="30" x14ac:dyDescent="0.25">
      <c r="A149" t="s">
        <v>232</v>
      </c>
      <c r="B149" s="40" t="s">
        <v>447</v>
      </c>
      <c r="D149" t="s">
        <v>207</v>
      </c>
      <c r="E149" s="40" t="s">
        <v>595</v>
      </c>
    </row>
    <row r="150" spans="1:5" x14ac:dyDescent="0.25">
      <c r="A150" t="s">
        <v>613</v>
      </c>
      <c r="B150" s="40" t="s">
        <v>614</v>
      </c>
    </row>
    <row r="151" spans="1:5" ht="30" x14ac:dyDescent="0.25">
      <c r="A151" t="s">
        <v>36</v>
      </c>
      <c r="B151" s="40" t="s">
        <v>541</v>
      </c>
    </row>
    <row r="152" spans="1:5" x14ac:dyDescent="0.25">
      <c r="A152" t="s">
        <v>615</v>
      </c>
      <c r="B152" s="40" t="s">
        <v>616</v>
      </c>
    </row>
    <row r="153" spans="1:5" ht="30" x14ac:dyDescent="0.25">
      <c r="A153" t="s">
        <v>258</v>
      </c>
      <c r="B153" s="40" t="s">
        <v>480</v>
      </c>
    </row>
    <row r="154" spans="1:5" x14ac:dyDescent="0.25">
      <c r="A154" t="s">
        <v>260</v>
      </c>
      <c r="B154" s="40" t="s">
        <v>478</v>
      </c>
    </row>
    <row r="155" spans="1:5" ht="30" x14ac:dyDescent="0.25">
      <c r="A155" t="s">
        <v>262</v>
      </c>
      <c r="B155" s="40" t="s">
        <v>476</v>
      </c>
    </row>
    <row r="156" spans="1:5" ht="30" x14ac:dyDescent="0.25">
      <c r="A156" t="s">
        <v>529</v>
      </c>
      <c r="B156" s="40" t="s">
        <v>530</v>
      </c>
    </row>
    <row r="157" spans="1:5" ht="75" x14ac:dyDescent="0.25">
      <c r="A157" t="s">
        <v>32</v>
      </c>
      <c r="B157" s="40" t="s">
        <v>534</v>
      </c>
    </row>
    <row r="158" spans="1:5" ht="45" x14ac:dyDescent="0.25">
      <c r="A158" t="s">
        <v>37</v>
      </c>
      <c r="B158" s="40" t="s">
        <v>544</v>
      </c>
    </row>
    <row r="159" spans="1:5" x14ac:dyDescent="0.25">
      <c r="A159" t="s">
        <v>298</v>
      </c>
      <c r="B159" s="40" t="s">
        <v>614</v>
      </c>
    </row>
    <row r="160" spans="1:5" x14ac:dyDescent="0.25">
      <c r="A160" t="s">
        <v>299</v>
      </c>
      <c r="B160" s="40" t="s">
        <v>616</v>
      </c>
    </row>
    <row r="161" spans="1:2" ht="30" x14ac:dyDescent="0.25">
      <c r="A161" t="s">
        <v>31</v>
      </c>
      <c r="B161" s="40" t="s">
        <v>530</v>
      </c>
    </row>
    <row r="162" spans="1:2" ht="30" x14ac:dyDescent="0.25">
      <c r="A162" t="s">
        <v>236</v>
      </c>
      <c r="B162" s="40" t="s">
        <v>603</v>
      </c>
    </row>
    <row r="163" spans="1:2" ht="30" x14ac:dyDescent="0.25">
      <c r="A163" t="s">
        <v>282</v>
      </c>
      <c r="B163" s="40" t="s">
        <v>611</v>
      </c>
    </row>
    <row r="164" spans="1:2" ht="30" x14ac:dyDescent="0.25">
      <c r="A164" t="s">
        <v>278</v>
      </c>
      <c r="B164" s="40" t="s">
        <v>609</v>
      </c>
    </row>
    <row r="165" spans="1:2" x14ac:dyDescent="0.25">
      <c r="A165" t="s">
        <v>293</v>
      </c>
      <c r="B165" s="40" t="s">
        <v>522</v>
      </c>
    </row>
    <row r="166" spans="1:2" x14ac:dyDescent="0.25">
      <c r="A166" t="s">
        <v>294</v>
      </c>
      <c r="B166" s="40" t="s">
        <v>521</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Simple Query</vt:lpstr>
      <vt:lpstr>Generic Query</vt:lpstr>
      <vt:lpstr>Metadata</vt:lpstr>
      <vt:lpstr>query</vt:lpstr>
      <vt:lpstr>query2</vt:lpstr>
      <vt:lpstr>token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Orb</dc:creator>
  <cp:keywords>VBA Loganis API</cp:keywords>
  <cp:lastModifiedBy>orb</cp:lastModifiedBy>
  <cp:lastPrinted>2014-04-05T16:52:35Z</cp:lastPrinted>
  <dcterms:created xsi:type="dcterms:W3CDTF">2013-09-30T12:59:18Z</dcterms:created>
  <dcterms:modified xsi:type="dcterms:W3CDTF">2014-05-09T14:47:40Z</dcterms:modified>
  <cp:category>Webanalytics, data</cp:category>
</cp:coreProperties>
</file>